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ecisiones" sheetId="2" state="visible" r:id="rId2"/>
    <sheet xmlns:r="http://schemas.openxmlformats.org/officeDocument/2006/relationships" name="Correcciones" sheetId="3" state="visible" r:id="rId3"/>
    <sheet xmlns:r="http://schemas.openxmlformats.org/officeDocument/2006/relationships" name="Datos faltantes" sheetId="4" state="visible" r:id="rId4"/>
  </sheets>
  <definedNames>
    <definedName name="_xlnm._FilterDatabase" localSheetId="1" hidden="1">'Decisiones'!$A$1:$F$9</definedName>
    <definedName name="_xlnm._FilterDatabase" localSheetId="2" hidden="1">'Correcciones'!$A$1:$J$35</definedName>
    <definedName name="_xlnm._FilterDatabase" localSheetId="3" hidden="1">'Datos faltantes'!$A$1:$E$52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i val="1"/>
      <sz val="9"/>
    </font>
    <font>
      <name val="Arial"/>
      <b val="1"/>
      <color rgb="00003D8B"/>
      <sz val="11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003D8B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1" pivotButton="0" quotePrefix="0" xfId="0"/>
    <xf numFmtId="0" fontId="2" fillId="0" borderId="1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FarmaG — Consolidado de pendientes</t>
        </is>
      </c>
    </row>
    <row r="2">
      <c r="A2" s="2" t="inlineStr">
        <is>
          <t>Los conteos se recalculan solos al llenar las demás pestañas.</t>
        </is>
      </c>
    </row>
    <row r="4">
      <c r="A4" s="3" t="inlineStr">
        <is>
          <t>Por pestaña</t>
        </is>
      </c>
    </row>
    <row r="5">
      <c r="A5" s="4" t="inlineStr">
        <is>
          <t>Pestaña</t>
        </is>
      </c>
      <c r="B5" s="4" t="inlineStr">
        <is>
          <t>Total</t>
        </is>
      </c>
      <c r="C5" s="4" t="inlineStr">
        <is>
          <t>Con respuesta / mezclado</t>
        </is>
      </c>
      <c r="D5" s="4" t="inlineStr">
        <is>
          <t>Sin resolver</t>
        </is>
      </c>
    </row>
    <row r="6">
      <c r="A6" s="5" t="inlineStr">
        <is>
          <t>Decisiones</t>
        </is>
      </c>
      <c r="B6" s="5">
        <f>COUNTA(Decisiones!A2:A9)</f>
        <v/>
      </c>
      <c r="C6" s="5">
        <f>COUNTA(Decisiones!E2:E9)</f>
        <v/>
      </c>
      <c r="D6" s="5">
        <f>B6-C6</f>
        <v/>
      </c>
    </row>
    <row r="7">
      <c r="A7" s="5" t="inlineStr">
        <is>
          <t>Correcciones</t>
        </is>
      </c>
      <c r="B7" s="5">
        <f>COUNTA(Correcciones!A2:A35)</f>
        <v/>
      </c>
      <c r="C7" s="5">
        <f>COUNTIF(Correcciones!H2:H35,"Mezclado")</f>
        <v/>
      </c>
      <c r="D7" s="5">
        <f>B7-C7</f>
        <v/>
      </c>
    </row>
    <row r="8">
      <c r="A8" s="5" t="inlineStr">
        <is>
          <t>Datos faltantes</t>
        </is>
      </c>
      <c r="B8" s="5">
        <f>COUNTA('Datos faltantes'!A2:A52)</f>
        <v/>
      </c>
      <c r="C8" s="5">
        <f>COUNTA('Datos faltantes'!E2:E52)</f>
        <v/>
      </c>
      <c r="D8" s="5">
        <f>B8-C8</f>
        <v/>
      </c>
    </row>
    <row r="9">
      <c r="A9" s="4" t="inlineStr">
        <is>
          <t>Total</t>
        </is>
      </c>
      <c r="B9" s="4">
        <f>SUM(B6:B8)</f>
        <v/>
      </c>
      <c r="C9" s="4">
        <f>SUM(C6:C8)</f>
        <v/>
      </c>
      <c r="D9" s="4">
        <f>SUM(D6:D8)</f>
        <v/>
      </c>
    </row>
    <row r="11">
      <c r="A11" s="3" t="inlineStr">
        <is>
          <t>Por responsable</t>
        </is>
      </c>
    </row>
    <row r="12">
      <c r="A12" s="4" t="inlineStr">
        <is>
          <t>Responsable</t>
        </is>
      </c>
      <c r="B12" s="4" t="inlineStr">
        <is>
          <t>Decisiones</t>
        </is>
      </c>
      <c r="C12" s="4" t="inlineStr">
        <is>
          <t>Correcciones</t>
        </is>
      </c>
      <c r="D12" s="4" t="inlineStr">
        <is>
          <t>Datos faltantes</t>
        </is>
      </c>
      <c r="E12" s="4" t="inlineStr">
        <is>
          <t>Total</t>
        </is>
      </c>
    </row>
    <row r="13">
      <c r="A13" s="5" t="inlineStr">
        <is>
          <t>Daniel Reyes</t>
        </is>
      </c>
      <c r="B13" s="5">
        <f>COUNTIF(Decisiones!D2:D9,"Daniel Reyes")</f>
        <v/>
      </c>
      <c r="C13" s="5">
        <f>COUNTIF(Correcciones!E2:E35,"Daniel Reyes")</f>
        <v/>
      </c>
      <c r="D13" s="5">
        <f>COUNTIF('Datos faltantes'!D2:D52,"Daniel")</f>
        <v/>
      </c>
      <c r="E13" s="5">
        <f>SUM(B13:D13)</f>
        <v/>
      </c>
    </row>
    <row r="14">
      <c r="A14" s="5" t="inlineStr">
        <is>
          <t>Jorge Vargas</t>
        </is>
      </c>
      <c r="B14" s="5">
        <f>COUNTIF(Decisiones!D2:D9,"Jorge Vargas")</f>
        <v/>
      </c>
      <c r="C14" s="5">
        <f>COUNTIF(Correcciones!E2:E35,"Jorge Vargas")</f>
        <v/>
      </c>
      <c r="D14" s="5">
        <f>COUNTIF('Datos faltantes'!D2:D52,"Jorge")</f>
        <v/>
      </c>
      <c r="E14" s="5">
        <f>SUM(B14:D14)</f>
        <v/>
      </c>
    </row>
    <row r="15">
      <c r="A15" s="5" t="inlineStr">
        <is>
          <t>Audias Guevara</t>
        </is>
      </c>
      <c r="B15" s="5">
        <f>COUNTIF(Decisiones!D2:D9,"Audias Guevara")</f>
        <v/>
      </c>
      <c r="C15" s="5">
        <f>COUNTIF(Correcciones!E2:E35,"Audias Guevara")</f>
        <v/>
      </c>
      <c r="D15" s="5">
        <f>COUNTIF('Datos faltantes'!D2:D52,"Audias")</f>
        <v/>
      </c>
      <c r="E15" s="5">
        <f>SUM(B15:D15)</f>
        <v/>
      </c>
    </row>
    <row r="16">
      <c r="A16" s="5" t="inlineStr">
        <is>
          <t>Municipalidad</t>
        </is>
      </c>
      <c r="B16" s="5">
        <f>COUNTIF(Decisiones!D2:D9,"Municipalidad")</f>
        <v/>
      </c>
      <c r="C16" s="5">
        <f>COUNTIF(Correcciones!E2:E35,"Municipalidad")</f>
        <v/>
      </c>
      <c r="D16" s="5">
        <f>COUNTIF('Datos faltantes'!D2:D52,"Municipalidad")</f>
        <v/>
      </c>
      <c r="E16" s="5">
        <f>SUM(B16:D16)</f>
        <v/>
      </c>
    </row>
    <row r="17">
      <c r="A17" s="5" t="inlineStr">
        <is>
          <t>Compañero de pentest</t>
        </is>
      </c>
      <c r="B17" s="5">
        <f>COUNTIF(Decisiones!D2:D9,"Compañero de pentest")</f>
        <v/>
      </c>
      <c r="C17" s="5">
        <f>COUNTIF(Correcciones!E2:E35,"Compañero de pentest")</f>
        <v/>
      </c>
      <c r="D17" s="5">
        <f>COUNTIF('Datos faltantes'!D2:D52,"Compañero de pentest")</f>
        <v/>
      </c>
      <c r="E17" s="5">
        <f>SUM(B17:D17)</f>
        <v/>
      </c>
    </row>
    <row r="18">
      <c r="A18" s="5" t="inlineStr">
        <is>
          <t>Compañero del manual</t>
        </is>
      </c>
      <c r="B18" s="5">
        <f>COUNTIF(Decisiones!D2:D9,"Compañero del manual")</f>
        <v/>
      </c>
      <c r="C18" s="5">
        <f>COUNTIF(Correcciones!E2:E35,"Compañero del manual")</f>
        <v/>
      </c>
      <c r="D18" s="5">
        <f>COUNTIF('Datos faltantes'!D2:D52,"Compañero del manual")</f>
        <v/>
      </c>
      <c r="E18" s="5">
        <f>SUM(B18:D18)</f>
        <v/>
      </c>
    </row>
    <row r="19">
      <c r="A19" s="4" t="inlineStr">
        <is>
          <t>Total</t>
        </is>
      </c>
      <c r="B19" s="4">
        <f>SUM(B13:B18)</f>
        <v/>
      </c>
      <c r="C19" s="4">
        <f>SUM(C13:C18)</f>
        <v/>
      </c>
      <c r="D19" s="4">
        <f>SUM(D13:D18)</f>
        <v/>
      </c>
      <c r="E19" s="4">
        <f>SUM(E13:E18)</f>
        <v/>
      </c>
    </row>
    <row r="21">
      <c r="A21" s="3" t="inlineStr">
        <is>
          <t>Correcciones por entrega y estado</t>
        </is>
      </c>
    </row>
    <row r="22">
      <c r="A22" s="4" t="inlineStr">
        <is>
          <t>Entrega</t>
        </is>
      </c>
      <c r="B22" s="4" t="inlineStr">
        <is>
          <t>Pendiente</t>
        </is>
      </c>
      <c r="C22" s="4" t="inlineStr">
        <is>
          <t>En curso</t>
        </is>
      </c>
      <c r="D22" s="4" t="inlineStr">
        <is>
          <t>PR abierto</t>
        </is>
      </c>
      <c r="E22" s="4" t="inlineStr">
        <is>
          <t>Mezclado</t>
        </is>
      </c>
    </row>
    <row r="23">
      <c r="A23" s="5" t="inlineStr">
        <is>
          <t>Antes del 24/10</t>
        </is>
      </c>
      <c r="B23" s="5">
        <f>COUNTIFS(Correcciones!F2:F35,"Antes del 24/10",Correcciones!H2:H35,"Pendiente")</f>
        <v/>
      </c>
      <c r="C23" s="5">
        <f>COUNTIFS(Correcciones!F2:F35,"Antes del 24/10",Correcciones!H2:H35,"En curso")</f>
        <v/>
      </c>
      <c r="D23" s="5">
        <f>COUNTIFS(Correcciones!F2:F35,"Antes del 24/10",Correcciones!H2:H35,"PR abierto")</f>
        <v/>
      </c>
      <c r="E23" s="5">
        <f>COUNTIFS(Correcciones!F2:F35,"Antes del 24/10",Correcciones!H2:H35,"Mezclado")</f>
        <v/>
      </c>
    </row>
    <row r="24">
      <c r="A24" s="5" t="inlineStr">
        <is>
          <t>Después del 24/10</t>
        </is>
      </c>
      <c r="B24" s="5">
        <f>COUNTIFS(Correcciones!F2:F35,"Después del 24/10",Correcciones!H2:H35,"Pendiente")</f>
        <v/>
      </c>
      <c r="C24" s="5">
        <f>COUNTIFS(Correcciones!F2:F35,"Después del 24/10",Correcciones!H2:H35,"En curso")</f>
        <v/>
      </c>
      <c r="D24" s="5">
        <f>COUNTIFS(Correcciones!F2:F35,"Después del 24/10",Correcciones!H2:H35,"PR abierto")</f>
        <v/>
      </c>
      <c r="E24" s="5">
        <f>COUNTIFS(Correcciones!F2:F35,"Después del 24/10",Correcciones!H2:H35,"Mezclado")</f>
        <v/>
      </c>
    </row>
    <row r="25">
      <c r="A25" s="5" t="inlineStr">
        <is>
          <t>Bloqueado</t>
        </is>
      </c>
      <c r="B25" s="5">
        <f>COUNTIFS(Correcciones!F2:F35,"Bloqueado",Correcciones!H2:H35,"Pendiente")</f>
        <v/>
      </c>
      <c r="C25" s="5">
        <f>COUNTIFS(Correcciones!F2:F35,"Bloqueado",Correcciones!H2:H35,"En curso")</f>
        <v/>
      </c>
      <c r="D25" s="5">
        <f>COUNTIFS(Correcciones!F2:F35,"Bloqueado",Correcciones!H2:H35,"PR abierto")</f>
        <v/>
      </c>
      <c r="E25" s="5">
        <f>COUNTIFS(Correcciones!F2:F35,"Bloqueado",Correcciones!H2:H35,"Mezclado")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0" customWidth="1" min="2" max="2"/>
    <col width="60" customWidth="1" min="3" max="3"/>
    <col width="18" customWidth="1" min="4" max="4"/>
    <col width="40" customWidth="1" min="5" max="5"/>
    <col width="30" customWidth="1" min="6" max="6"/>
  </cols>
  <sheetData>
    <row r="1" ht="30" customHeight="1">
      <c r="A1" s="6" t="inlineStr">
        <is>
          <t>ID</t>
        </is>
      </c>
      <c r="B1" s="6" t="inlineStr">
        <is>
          <t>Pregunta</t>
        </is>
      </c>
      <c r="C1" s="6" t="inlineStr">
        <is>
          <t>Opción recomendada</t>
        </is>
      </c>
      <c r="D1" s="6" t="inlineStr">
        <is>
          <t>Quién decide</t>
        </is>
      </c>
      <c r="E1" s="6" t="inlineStr">
        <is>
          <t>Respuesta</t>
        </is>
      </c>
      <c r="F1" s="6" t="inlineStr">
        <is>
          <t>Comentario</t>
        </is>
      </c>
    </row>
    <row r="2">
      <c r="A2" s="7" t="inlineStr">
        <is>
          <t>P-02</t>
        </is>
      </c>
      <c r="B2" s="7" t="inlineStr">
        <is>
          <t>¿Qué versión de nginx se usa en producción? (PostgreSQL 16.14 ya está confirmada)</t>
        </is>
      </c>
      <c r="C2" s="7" t="inlineStr">
        <is>
          <t>Registrarla cuando la configuración de producción de R-10 esté en docker-compose.yml: nginx -v en farmag_web durante el workflow.</t>
        </is>
      </c>
      <c r="D2" s="7" t="inlineStr">
        <is>
          <t>Daniel Reyes</t>
        </is>
      </c>
      <c r="E2" s="8" t="inlineStr"/>
      <c r="F2" s="8" t="inlineStr"/>
    </row>
    <row r="3">
      <c r="A3" s="7" t="inlineStr">
        <is>
          <t>P-04</t>
        </is>
      </c>
      <c r="B3" s="7" t="inlineStr">
        <is>
          <t>¿Funciona VITE_LAN_IP para el código QR en modo producción?</t>
        </is>
      </c>
      <c r="C3" s="7" t="inlineStr">
        <is>
          <t>Se resuelve con H-50 dentro del lote 2 (argumento de construcción en docker-compose.yml, R-10); verificar en el workflow con una IP de prueba.</t>
        </is>
      </c>
      <c r="D3" s="7" t="inlineStr">
        <is>
          <t>Daniel Reyes</t>
        </is>
      </c>
      <c r="E3" s="8" t="inlineStr"/>
      <c r="F3" s="8" t="inlineStr"/>
    </row>
    <row r="4">
      <c r="A4" s="7" t="inlineStr">
        <is>
          <t>P-05</t>
        </is>
      </c>
      <c r="B4" s="7" t="inlineStr">
        <is>
          <t>¿Qué .env usa el servidor de la farmacia? (ya se sabe que usa docker-compose.yml, R-10)</t>
        </is>
      </c>
      <c r="C4" s="7" t="inlineStr">
        <is>
          <t>Registrar las variables (sin valores secretos) cuando alguien tenga acceso al servidor; mientras tanto, documentar la configuración de R-10.</t>
        </is>
      </c>
      <c r="D4" s="7" t="inlineStr">
        <is>
          <t>Municipalidad</t>
        </is>
      </c>
      <c r="E4" s="8" t="inlineStr"/>
      <c r="F4" s="8" t="inlineStr"/>
    </row>
    <row r="5">
      <c r="A5" s="7" t="inlineStr">
        <is>
          <t>P-06</t>
        </is>
      </c>
      <c r="B5" s="7" t="inlineStr">
        <is>
          <t>¿Se cambiaron JWT_SECRET y DB_PASSWORD en la instalación real?</t>
        </is>
      </c>
      <c r="C5" s="7" t="inlineStr">
        <is>
          <t>Sin acceso al servidor no se puede verificar (R-10). Documentar H-03 como riesgo abierto.</t>
        </is>
      </c>
      <c r="D5" s="7" t="inlineStr">
        <is>
          <t>Municipalidad</t>
        </is>
      </c>
      <c r="E5" s="8" t="inlineStr"/>
      <c r="F5" s="8" t="inlineStr"/>
    </row>
    <row r="6">
      <c r="A6" s="7" t="inlineStr">
        <is>
          <t>P-11</t>
        </is>
      </c>
      <c r="B6" s="7" t="inlineStr">
        <is>
          <t>¿start.cmd / start.sh --build deben arrancar en segundo plano?</t>
        </is>
      </c>
      <c r="C6" s="7" t="inlineStr">
        <is>
          <t>Cerrar como resuelta: su hallazgo H-06 ya está resuelto (12_plan_correcciones.md, sección 2).</t>
        </is>
      </c>
      <c r="D6" s="7" t="inlineStr">
        <is>
          <t>Audias Guevara</t>
        </is>
      </c>
      <c r="E6" s="8" t="inlineStr"/>
      <c r="F6" s="8" t="inlineStr"/>
    </row>
    <row r="7">
      <c r="A7" s="7" t="inlineStr">
        <is>
          <t>P-12</t>
        </is>
      </c>
      <c r="B7" s="7" t="inlineStr">
        <is>
          <t>¿Los puertos 5432 y 3000 quedan publicados en el equipo de producción?</t>
        </is>
      </c>
      <c r="C7" s="7" t="inlineStr">
        <is>
          <t>Cerrar como resuelta: su hallazgo H-04 ya está resuelto (puertos solo en 127.0.0.1).</t>
        </is>
      </c>
      <c r="D7" s="7" t="inlineStr">
        <is>
          <t>Audias Guevara</t>
        </is>
      </c>
      <c r="E7" s="8" t="inlineStr"/>
      <c r="F7" s="8" t="inlineStr"/>
    </row>
    <row r="8">
      <c r="A8" s="7" t="inlineStr">
        <is>
          <t>P-24</t>
        </is>
      </c>
      <c r="B8" s="7" t="inlineStr">
        <is>
          <t>¿Cómo se corrige una foto de evidencia equivocada después de subir las dos?</t>
        </is>
      </c>
      <c r="C8" s="7" t="inlineStr">
        <is>
          <t>Mantener inmutable la evidencia completa y documentarlo como regla intencional de CU-16; si se permite corregir, solo ADMIN y con registro EDITAR que conserve la foto anterior (H-35).</t>
        </is>
      </c>
      <c r="D8" s="7" t="inlineStr">
        <is>
          <t>Jorge Vargas</t>
        </is>
      </c>
      <c r="E8" s="8" t="inlineStr"/>
      <c r="F8" s="8" t="inlineStr"/>
    </row>
    <row r="9">
      <c r="A9" s="7" t="inlineStr">
        <is>
          <t>R-10 (aclaración)</t>
        </is>
      </c>
      <c r="B9" s="7" t="inlineStr">
        <is>
          <t>R-10 pide conservar "el puerto actual". ¿Cuál es: 5173 (Vite, por el que se accede hoy) u 80?</t>
        </is>
      </c>
      <c r="C9" s="7" t="inlineStr">
        <is>
          <t>Publicar nginx en el puerto por el que hoy entra la farmacia, para no cambiar los accesos directos ni el QR; confirmar cuál es.</t>
        </is>
      </c>
      <c r="D9" s="7" t="inlineStr">
        <is>
          <t>Daniel Reyes</t>
        </is>
      </c>
      <c r="E9" s="8" t="inlineStr"/>
      <c r="F9" s="8" t="inlineStr"/>
    </row>
  </sheetData>
  <autoFilter ref="A1:F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5" customWidth="1" min="2" max="2"/>
    <col width="10" customWidth="1" min="3" max="3"/>
    <col width="22" customWidth="1" min="4" max="4"/>
    <col width="16" customWidth="1" min="5" max="5"/>
    <col width="17" customWidth="1" min="6" max="6"/>
    <col width="70" customWidth="1" min="7" max="7"/>
    <col width="13" customWidth="1" min="8" max="8"/>
    <col width="10" customWidth="1" min="9" max="9"/>
    <col width="30" customWidth="1" min="10" max="10"/>
  </cols>
  <sheetData>
    <row r="1" ht="30" customHeight="1">
      <c r="A1" s="6" t="inlineStr">
        <is>
          <t>ID</t>
        </is>
      </c>
      <c r="B1" s="6" t="inlineStr">
        <is>
          <t>Problema</t>
        </is>
      </c>
      <c r="C1" s="6" t="inlineStr">
        <is>
          <t>Prioridad</t>
        </is>
      </c>
      <c r="D1" s="6" t="inlineStr">
        <is>
          <t>Módulo</t>
        </is>
      </c>
      <c r="E1" s="6" t="inlineStr">
        <is>
          <t>Responsable</t>
        </is>
      </c>
      <c r="F1" s="6" t="inlineStr">
        <is>
          <t>Entrega</t>
        </is>
      </c>
      <c r="G1" s="6" t="inlineStr">
        <is>
          <t>Corrección propuesta</t>
        </is>
      </c>
      <c r="H1" s="6" t="inlineStr">
        <is>
          <t>Estado</t>
        </is>
      </c>
      <c r="I1" s="6" t="inlineStr">
        <is>
          <t>PR</t>
        </is>
      </c>
      <c r="J1" s="6" t="inlineStr">
        <is>
          <t>Comentario</t>
        </is>
      </c>
    </row>
    <row r="2">
      <c r="A2" s="7" t="inlineStr">
        <is>
          <t>H-36</t>
        </is>
      </c>
      <c r="B2" s="7" t="inlineStr">
        <is>
          <t>La actualización automática usa docker-compose.yml (modo desarrollo: tsx watch, Vite, NODE_ENV=development, secretos por defecto)</t>
        </is>
      </c>
      <c r="C2" s="7" t="inlineStr">
        <is>
          <t>Crítica</t>
        </is>
      </c>
      <c r="D2" s="7" t="inlineStr">
        <is>
          <t>Setup/despliegue</t>
        </is>
      </c>
      <c r="E2" s="7" t="inlineStr">
        <is>
          <t>Daniel Reyes</t>
        </is>
      </c>
      <c r="F2" s="7" t="inlineStr">
        <is>
          <t>Después del 24/10</t>
        </is>
      </c>
      <c r="G2" s="7" t="inlineStr">
        <is>
          <t>Decisión (R-10): no se usará docker-compose.prod.yml ni se cambiará auto-update.cmd, porque nadie puede acceder al servidor. La configuración de producción se lleva a docker-compose.yml (NODE_ENV=production, backend compilado con node dist/server.js, frontend servido por nginx), con secretos con valor por defecto y sin ${VAR:?}, probada en el workflow y conservando el puerto actual de acceso. Se descarta la recomendación anterior (cambiar auto-update.cmd).</t>
        </is>
      </c>
      <c r="H2" s="7" t="inlineStr">
        <is>
          <t>Pendiente</t>
        </is>
      </c>
      <c r="I2" s="7" t="inlineStr"/>
      <c r="J2" s="7" t="inlineStr"/>
    </row>
    <row r="3">
      <c r="A3" s="7" t="inlineStr">
        <is>
          <t>H-03</t>
        </is>
      </c>
      <c r="B3" s="7" t="inlineStr">
        <is>
          <t>docker-compose.yml conserva farmag_secret_2026 y farmag_jwt_secret_cambiar_en_produccion como respaldo, y el backend arranca con ellos</t>
        </is>
      </c>
      <c r="C3" s="7" t="inlineStr">
        <is>
          <t>Crítica</t>
        </is>
      </c>
      <c r="D3" s="7" t="inlineStr">
        <is>
          <t>Setup</t>
        </is>
      </c>
      <c r="E3" s="7" t="inlineStr">
        <is>
          <t>Daniel Reyes</t>
        </is>
      </c>
      <c r="F3" s="7" t="inlineStr">
        <is>
          <t>Bloqueado</t>
        </is>
      </c>
      <c r="G3" s="7" t="inlineStr">
        <is>
          <t>Decisión (R-10): el paso 1 no se puede hacer porque nadie accede al servidor, y el paso 2 (${VAR:?}) no entra a main: los secretos conservan su valor por defecto en docker-compose.yml. El riesgo queda abierto y documentado. 1) En sitio: definir DB_PASSWORD y JWT_SECRET propios en el .env (cambiar la contraseña del usuario de Postgres con ALTER USER, no solo la variable). 2) Solo después, cambiar ${VAR:-valor} por ${VAR:?mensaje} en docker-compose.yml. El orden importa: si el paso 2 llega a main antes que el 1, el servidor deja de arrancar en la siguiente actualización y no hay acceso remoto.</t>
        </is>
      </c>
      <c r="H3" s="7" t="inlineStr">
        <is>
          <t>Pendiente</t>
        </is>
      </c>
      <c r="I3" s="7" t="inlineStr"/>
      <c r="J3" s="7" t="inlineStr"/>
    </row>
    <row r="4">
      <c r="A4" s="7" t="inlineStr">
        <is>
          <t>H-07</t>
        </is>
      </c>
      <c r="B4" s="7" t="inlineStr">
        <is>
          <t>NODE_ENV=development por defecto: errores 500 con mensaje interno y /api/health revela el entorno</t>
        </is>
      </c>
      <c r="C4" s="7" t="inlineStr">
        <is>
          <t>Alta</t>
        </is>
      </c>
      <c r="D4" s="7" t="inlineStr">
        <is>
          <t>Setup</t>
        </is>
      </c>
      <c r="E4" s="7" t="inlineStr">
        <is>
          <t>Daniel Reyes</t>
        </is>
      </c>
      <c r="F4" s="7" t="inlineStr">
        <is>
          <t>Después del 24/10</t>
        </is>
      </c>
      <c r="G4" s="7" t="inlineStr">
        <is>
          <t>Decisión (R-10): NODE_ENV=production se fija en docker-compose.yml; además se quita environment de /api/health. Se resuelve en la instalación con H-36 (NODE_ENV=production). En el código: quitar environment de la respuesta de /api/health.</t>
        </is>
      </c>
      <c r="H4" s="7" t="inlineStr">
        <is>
          <t>Pendiente</t>
        </is>
      </c>
      <c r="I4" s="7" t="inlineStr"/>
      <c r="J4" s="7" t="inlineStr"/>
    </row>
    <row r="5">
      <c r="A5" s="7" t="inlineStr">
        <is>
          <t>H-17</t>
        </is>
      </c>
      <c r="B5" s="7" t="inlineStr">
        <is>
          <t>CORS refleja cualquier origen en desarrollo; cabeceras del SPA solo con nginx</t>
        </is>
      </c>
      <c r="C5" s="7" t="inlineStr">
        <is>
          <t>Alta</t>
        </is>
      </c>
      <c r="D5" s="7" t="inlineStr">
        <is>
          <t>Setup</t>
        </is>
      </c>
      <c r="E5" s="7" t="inlineStr">
        <is>
          <t>Daniel Reyes</t>
        </is>
      </c>
      <c r="F5" s="7" t="inlineStr">
        <is>
          <t>Después del 24/10</t>
        </is>
      </c>
      <c r="G5" s="7" t="inlineStr">
        <is>
          <t>Decisión (R-10): se resuelve con la configuración de producción llevada a docker-compose.yml (CORS sin reflejar cualquier origen y cabeceras de nginx). Con docker-compose.prod.yml, CORS queda con lista blanca o desactivado y nginx agrega las cabeceras. No cambiar el código.</t>
        </is>
      </c>
      <c r="H5" s="7" t="inlineStr">
        <is>
          <t>Pendiente</t>
        </is>
      </c>
      <c r="I5" s="7" t="inlineStr"/>
      <c r="J5" s="7" t="inlineStr"/>
    </row>
    <row r="6">
      <c r="A6" s="7" t="inlineStr">
        <is>
          <t>H-40</t>
        </is>
      </c>
      <c r="B6" s="7" t="inlineStr">
        <is>
          <t>docker-compose.yml no pasa CORS_ORIGIN al contenedor api</t>
        </is>
      </c>
      <c r="C6" s="7" t="inlineStr">
        <is>
          <t>Media</t>
        </is>
      </c>
      <c r="D6" s="7" t="inlineStr">
        <is>
          <t>Setup</t>
        </is>
      </c>
      <c r="E6" s="7" t="inlineStr">
        <is>
          <t>Daniel Reyes</t>
        </is>
      </c>
      <c r="F6" s="7" t="inlineStr">
        <is>
          <t>Después del 24/10</t>
        </is>
      </c>
      <c r="G6" s="7" t="inlineStr">
        <is>
          <t>Agregar CORS_ORIGIN: ${CORS_ORIGIN:-}, igual que en docker-compose.prod.yml, línea 49.</t>
        </is>
      </c>
      <c r="H6" s="7" t="inlineStr">
        <is>
          <t>Pendiente</t>
        </is>
      </c>
      <c r="I6" s="7" t="inlineStr"/>
      <c r="J6" s="7" t="inlineStr"/>
    </row>
    <row r="7">
      <c r="A7" s="7" t="inlineStr">
        <is>
          <t>H-50</t>
        </is>
      </c>
      <c r="B7" s="7" t="inlineStr">
        <is>
          <t>El QR apunta a localhost si se entra así al servidor: VITE_LAN_IP no llega al build de producción</t>
        </is>
      </c>
      <c r="C7" s="7" t="inlineStr">
        <is>
          <t>Media</t>
        </is>
      </c>
      <c r="D7" s="7" t="inlineStr">
        <is>
          <t>Setup</t>
        </is>
      </c>
      <c r="E7" s="7" t="inlineStr">
        <is>
          <t>Daniel Reyes</t>
        </is>
      </c>
      <c r="F7" s="7" t="inlineStr">
        <is>
          <t>Después del 24/10</t>
        </is>
      </c>
      <c r="G7" s="7" t="inlineStr">
        <is>
          <t>Decisión (R-10): el argumento de construcción se agrega en docker-compose.yml, el archivo que usa el servidor. Pasar la IP como argumento de construcción, porque Vite la resuelve al compilar; la variable de entorno de ejecución actual solo sirve al servidor de desarrollo. Mientras tanto, entrar siempre por http://&lt;IP&gt; (sección 4, punto 10).</t>
        </is>
      </c>
      <c r="H7" s="7" t="inlineStr">
        <is>
          <t>Pendiente</t>
        </is>
      </c>
      <c r="I7" s="7" t="inlineStr"/>
      <c r="J7" s="7" t="inlineStr"/>
    </row>
    <row r="8">
      <c r="A8" s="7" t="inlineStr">
        <is>
          <t>H-51 / D-34</t>
        </is>
      </c>
      <c r="B8" s="7" t="inlineStr">
        <is>
          <t>docker-compose.prod.yml sin healthcheck de api, y el workflow no prueba ese archivo</t>
        </is>
      </c>
      <c r="C8" s="7" t="inlineStr">
        <is>
          <t>Media</t>
        </is>
      </c>
      <c r="D8" s="7" t="inlineStr">
        <is>
          <t>Setup</t>
        </is>
      </c>
      <c r="E8" s="7" t="inlineStr">
        <is>
          <t>Daniel Reyes</t>
        </is>
      </c>
      <c r="F8" s="7" t="inlineStr">
        <is>
          <t>Después del 24/10</t>
        </is>
      </c>
      <c r="G8" s="7" t="inlineStr">
        <is>
          <t>Decisión (R-10): el servidor sigue con docker-compose.yml, que ya tiene healthcheck; basta con que el workflow pruebe la nueva configuración de producción de ese archivo. No se toca docker-compose.prod.yml. Copiar el healthcheck de docker-compose.yml (líneas 66–71) al servicio api de producción y agregar a la matriz una configuración que levante docker-compose.prod.yml con secretos de prueba. Hacerlo antes de cambiar auto-update.cmd (H-36).</t>
        </is>
      </c>
      <c r="H8" s="7" t="inlineStr">
        <is>
          <t>Pendiente</t>
        </is>
      </c>
      <c r="I8" s="7" t="inlineStr"/>
      <c r="J8" s="7" t="inlineStr"/>
    </row>
    <row r="9">
      <c r="A9" s="7" t="inlineStr">
        <is>
          <t>D-30</t>
        </is>
      </c>
      <c r="B9" s="7" t="inlineStr">
        <is>
          <t>DESPLIEGUE.md describe docker compose up -d --build (desarrollo) y los comentarios de Compose remiten a docker-compose.prod.yml</t>
        </is>
      </c>
      <c r="C9" s="7" t="inlineStr">
        <is>
          <t>Media</t>
        </is>
      </c>
      <c r="D9" s="7" t="inlineStr">
        <is>
          <t>Setup</t>
        </is>
      </c>
      <c r="E9" s="7" t="inlineStr">
        <is>
          <t>Daniel Reyes</t>
        </is>
      </c>
      <c r="F9" s="7" t="inlineStr">
        <is>
          <t>Después del 24/10</t>
        </is>
      </c>
      <c r="G9" s="7" t="inlineStr">
        <is>
          <t>Decisión (R-10): DESPLIEGUE.md documentará docker-compose.yml con la configuración de producción. Se resuelve con la decisión de H-36: si se adopta el archivo de producción, DESPLIEGUE.md documenta el comando con -f docker-compose.prod.yml; si no, los comentarios dicen que el servidor usa docker-compose.yml con las variables de la sección 4.</t>
        </is>
      </c>
      <c r="H9" s="7" t="inlineStr">
        <is>
          <t>Pendiente</t>
        </is>
      </c>
      <c r="I9" s="7" t="inlineStr"/>
      <c r="J9" s="7" t="inlineStr"/>
    </row>
    <row r="10">
      <c r="A10" s="7" t="inlineStr">
        <is>
          <t>D-31</t>
        </is>
      </c>
      <c r="B10" s="7" t="inlineStr">
        <is>
          <t>STRICT_SECRETS solo llega con docker-compose.yml y CORS_ORIGIN solo con docker-compose.prod.yml</t>
        </is>
      </c>
      <c r="C10" s="7" t="inlineStr">
        <is>
          <t>Media</t>
        </is>
      </c>
      <c r="D10" s="7" t="inlineStr">
        <is>
          <t>Setup</t>
        </is>
      </c>
      <c r="E10" s="7" t="inlineStr">
        <is>
          <t>Daniel Reyes</t>
        </is>
      </c>
      <c r="F10" s="7" t="inlineStr">
        <is>
          <t>Después del 24/10</t>
        </is>
      </c>
      <c r="G10" s="7" t="inlineStr">
        <is>
          <t>Se resuelve con H-40 (CORS_ORIGIN en docker-compose.yml) y H-49 (STRICT_SECRETS en producción); en .env.example, aclarar que ambas aplican a los dos archivos.</t>
        </is>
      </c>
      <c r="H10" s="7" t="inlineStr">
        <is>
          <t>Pendiente</t>
        </is>
      </c>
      <c r="I10" s="7" t="inlineStr"/>
      <c r="J10" s="7" t="inlineStr"/>
    </row>
    <row r="11">
      <c r="A11" s="7" t="inlineStr">
        <is>
          <t>H-46</t>
        </is>
      </c>
      <c r="B11" s="7" t="inlineStr">
        <is>
          <t>Reportes y auditoría: desde=AAAA-MM-DD se interpreta como medianoche UTC e incluye 18:00–23:59 del día anterior</t>
        </is>
      </c>
      <c r="C11" s="7" t="inlineStr">
        <is>
          <t>Alta</t>
        </is>
      </c>
      <c r="D11" s="7" t="inlineStr">
        <is>
          <t>Reportes</t>
        </is>
      </c>
      <c r="E11" s="7" t="inlineStr">
        <is>
          <t>Daniel Reyes</t>
        </is>
      </c>
      <c r="F11" s="7" t="inlineStr">
        <is>
          <t>Antes del 24/10</t>
        </is>
      </c>
      <c r="G11" s="7" t="inlineStr">
        <is>
          <t>En parseFechaQuery, si el valor coincide con ^\d{4}-\d{2}-\d{2}$, construir new Date(a, m-1, d) (medianoche local); agregar parseFechaHastaQuery que lleve una fecha simple a 23:59:59.999 local. Usar ambos en reportes y auditoría.</t>
        </is>
      </c>
      <c r="H11" s="7" t="inlineStr">
        <is>
          <t>Pendiente</t>
        </is>
      </c>
      <c r="I11" s="7" t="inlineStr"/>
      <c r="J11" s="7" t="inlineStr"/>
    </row>
    <row r="12">
      <c r="A12" s="7" t="inlineStr">
        <is>
          <t>H-45</t>
        </is>
      </c>
      <c r="B12" s="7" t="inlineStr">
        <is>
          <t>GET /dispensacion/historial: fechaHasta queda en el día anterior y fechaDesde incluye 6 h del día previo</t>
        </is>
      </c>
      <c r="C12" s="7" t="inlineStr">
        <is>
          <t>Media</t>
        </is>
      </c>
      <c r="D12" s="7" t="inlineStr">
        <is>
          <t>Dispensación</t>
        </is>
      </c>
      <c r="E12" s="7" t="inlineStr">
        <is>
          <t>Jorge Vargas</t>
        </is>
      </c>
      <c r="F12" s="7" t="inlineStr">
        <is>
          <t>Después del 24/10</t>
        </is>
      </c>
      <c r="G12" s="7" t="inlineStr">
        <is>
          <t>Reemplazar el setHours por los helpers de H-46 (parseFechaQuery / parseFechaHastaQuery).</t>
        </is>
      </c>
      <c r="H12" s="7" t="inlineStr">
        <is>
          <t>Pendiente</t>
        </is>
      </c>
      <c r="I12" s="7" t="inlineStr"/>
      <c r="J12" s="7" t="inlineStr"/>
    </row>
    <row r="13">
      <c r="A13" s="7" t="inlineStr">
        <is>
          <t>H-39</t>
        </is>
      </c>
      <c r="B13" s="7" t="inlineStr">
        <is>
          <t>La contraseña aleatoria del administrador inicial queda en claro en el log del contenedor y nada obliga a cambiarla</t>
        </is>
      </c>
      <c r="C13" s="7" t="inlineStr">
        <is>
          <t>Alta</t>
        </is>
      </c>
      <c r="D13" s="7" t="inlineStr">
        <is>
          <t>Admin</t>
        </is>
      </c>
      <c r="E13" s="7" t="inlineStr">
        <is>
          <t>Daniel Reyes</t>
        </is>
      </c>
      <c r="F13" s="7" t="inlineStr">
        <is>
          <t>Después del 24/10</t>
        </is>
      </c>
      <c r="G13" s="7" t="inlineStr">
        <is>
          <t>Decisión (R-11): sin cambio de contraseña propio (las cuentas se heredan entre el personal); solo el ADMIN restablece. El cambio obligatorio en el primer inicio de sesión aplica solo al administrador creado por el seed. Se descarta el endpoint general PUT /auth/password. Mientras tanto, en instalaciones nuevas, definir ADMIN_INITIAL_PASSWORD.</t>
        </is>
      </c>
      <c r="H13" s="7" t="inlineStr">
        <is>
          <t>Pendiente</t>
        </is>
      </c>
      <c r="I13" s="7" t="inlineStr"/>
      <c r="J13" s="7" t="inlineStr"/>
    </row>
    <row r="14">
      <c r="A14" s="7" t="inlineStr">
        <is>
          <t>H-15 (ubicaciones)</t>
        </is>
      </c>
      <c r="B14" s="7" t="inlineStr">
        <is>
          <t>descripcion de ubicaciones sin validar</t>
        </is>
      </c>
      <c r="C14" s="7" t="inlineStr">
        <is>
          <t>Media</t>
        </is>
      </c>
      <c r="D14" s="7" t="inlineStr">
        <is>
          <t>Catálogos</t>
        </is>
      </c>
      <c r="E14" s="7" t="inlineStr">
        <is>
          <t>Audias Guevara</t>
        </is>
      </c>
      <c r="F14" s="7" t="inlineStr">
        <is>
          <t>Antes del 24/10</t>
        </is>
      </c>
      <c r="G14" s="7" t="inlineStr">
        <is>
          <t>Validar descripcion como string opcional (lote 3).</t>
        </is>
      </c>
      <c r="H14" s="7" t="inlineStr">
        <is>
          <t>Pendiente</t>
        </is>
      </c>
      <c r="I14" s="7" t="inlineStr"/>
      <c r="J14" s="7" t="inlineStr"/>
    </row>
    <row r="15">
      <c r="A15" s="7" t="inlineStr">
        <is>
          <t>H-15 (usuarios)</t>
        </is>
      </c>
      <c r="B15" s="7" t="inlineStr">
        <is>
          <t>POST/PUT /usuarios no validan formato ni unicidad de email (500), ni tipo de nombreCompleto</t>
        </is>
      </c>
      <c r="C15" s="7" t="inlineStr">
        <is>
          <t>Media</t>
        </is>
      </c>
      <c r="D15" s="7" t="inlineStr">
        <is>
          <t>Admin</t>
        </is>
      </c>
      <c r="E15" s="7" t="inlineStr">
        <is>
          <t>Daniel Reyes</t>
        </is>
      </c>
      <c r="F15" s="7" t="inlineStr">
        <is>
          <t>Después del 24/10</t>
        </is>
      </c>
      <c r="G15" s="7" t="inlineStr">
        <is>
          <t>Esquema Zod con email: z.string().email().optional() y nombreCompleto: z.string().trim().min(1); reemplazar los catch propios por responderError (P2002 → 409) (lote 4).</t>
        </is>
      </c>
      <c r="H15" s="7" t="inlineStr">
        <is>
          <t>Pendiente</t>
        </is>
      </c>
      <c r="I15" s="7" t="inlineStr"/>
      <c r="J15" s="7" t="inlineStr"/>
    </row>
    <row r="16">
      <c r="A16" s="7" t="inlineStr">
        <is>
          <t>H-16</t>
        </is>
      </c>
      <c r="B16" s="7" t="inlineStr">
        <is>
          <t>Política de contraseñas: 6 caracteres en usuarios, 8 + lista prohibida en el seed, sin complejidad</t>
        </is>
      </c>
      <c r="C16" s="7" t="inlineStr">
        <is>
          <t>Media</t>
        </is>
      </c>
      <c r="D16" s="7" t="inlineStr">
        <is>
          <t>Admin</t>
        </is>
      </c>
      <c r="E16" s="7" t="inlineStr">
        <is>
          <t>Daniel Reyes</t>
        </is>
      </c>
      <c r="F16" s="7" t="inlineStr">
        <is>
          <t>Después del 24/10</t>
        </is>
      </c>
      <c r="G16" s="7" t="inlineStr">
        <is>
          <t>Decisión (R-12): aprobada: mínimo 8 caracteres y sin contraseñas comunes, al crear y al restablecer; las contraseñas actuales siguen funcionando. No hay cambio propio (R-11). Recomendado: una sola regla de 8 caracteres mínimo con la lista de valores prohibidos del seed, aplicada en crear, restablecer y cambio propio; porque unifica las tres reglas sin exigir complejidad que el personal anote en papel.</t>
        </is>
      </c>
      <c r="H16" s="7" t="inlineStr">
        <is>
          <t>Pendiente</t>
        </is>
      </c>
      <c r="I16" s="7" t="inlineStr"/>
      <c r="J16" s="7" t="inlineStr"/>
    </row>
    <row r="17">
      <c r="A17" s="7" t="inlineStr">
        <is>
          <t>H-41</t>
        </is>
      </c>
      <c r="B17" s="7" t="inlineStr">
        <is>
          <t>Si ADMIN_INITIAL_PASSWORD es inválida, el seed aborta antes de sembrar catálogos y el arranque solo deja un AVISO</t>
        </is>
      </c>
      <c r="C17" s="7" t="inlineStr">
        <is>
          <t>Media</t>
        </is>
      </c>
      <c r="D17" s="7" t="inlineStr">
        <is>
          <t>Admin/Setup</t>
        </is>
      </c>
      <c r="E17" s="7" t="inlineStr">
        <is>
          <t>Daniel Reyes</t>
        </is>
      </c>
      <c r="F17" s="7" t="inlineStr">
        <is>
          <t>Después del 24/10</t>
        </is>
      </c>
      <c r="G17" s="7" t="inlineStr">
        <is>
          <t>Sembrar categorías, ubicaciones y configuración antes de validar la contraseña, y que el entrypoint escriba ATENCION (no AVISO) cuando el seed falla, para que lo detecte el workflow.</t>
        </is>
      </c>
      <c r="H17" s="7" t="inlineStr">
        <is>
          <t>Pendiente</t>
        </is>
      </c>
      <c r="I17" s="7" t="inlineStr"/>
      <c r="J17" s="7" t="inlineStr"/>
    </row>
    <row r="18">
      <c r="A18" s="7" t="inlineStr">
        <is>
          <t>H-10</t>
        </is>
      </c>
      <c r="B18" s="7" t="inlineStr">
        <is>
          <t>Sin *logout* en el servidor: la acción LOGOUT nunca se registra y un token robado vale 8 h</t>
        </is>
      </c>
      <c r="C18" s="7" t="inlineStr">
        <is>
          <t>Media</t>
        </is>
      </c>
      <c r="D18" s="7" t="inlineStr">
        <is>
          <t>Auth</t>
        </is>
      </c>
      <c r="E18" s="7" t="inlineStr">
        <is>
          <t>Daniel Reyes</t>
        </is>
      </c>
      <c r="F18" s="7" t="inlineStr">
        <is>
          <t>Después del 24/10</t>
        </is>
      </c>
      <c r="G18" s="7" t="inlineStr">
        <is>
          <t>Agregar POST /auth/logout que registre LOGOUT y llamarlo desde logout(). La revocación individual de tokens se acepta como riesgo: authMiddleware ya rechaza al usuario desactivado, que es la respuesta operativa a un robo.</t>
        </is>
      </c>
      <c r="H18" s="7" t="inlineStr">
        <is>
          <t>Pendiente</t>
        </is>
      </c>
      <c r="I18" s="7" t="inlineStr"/>
      <c r="J18" s="7" t="inlineStr"/>
    </row>
    <row r="19">
      <c r="A19" s="7" t="inlineStr">
        <is>
          <t>H-35</t>
        </is>
      </c>
      <c r="B19" s="7" t="inlineStr">
        <is>
          <t>La subida de fotos por captura se audita con el usuario que dispensó, sin IP, y el reemplazo previo no queda registrado</t>
        </is>
      </c>
      <c r="C19" s="7" t="inlineStr">
        <is>
          <t>Media</t>
        </is>
      </c>
      <c r="D19" s="7" t="inlineStr">
        <is>
          <t>Dispensación</t>
        </is>
      </c>
      <c r="E19" s="7" t="inlineStr">
        <is>
          <t>Jorge Vargas</t>
        </is>
      </c>
      <c r="F19" s="7" t="inlineStr">
        <is>
          <t>Después del 24/10</t>
        </is>
      </c>
      <c r="G19" s="7" t="inlineStr">
        <is>
          <t>Pasar req.ip al servicio; en datosNuevos agregar origen: 'captura' para dejar claro que el usuario es el dueño de la dispensación, no quien subió; si ya existía foto del mismo tipo, registrar EDITAR con datosAnteriores (ruta y fecha de la foto reemplazada).</t>
        </is>
      </c>
      <c r="H19" s="7" t="inlineStr">
        <is>
          <t>Pendiente</t>
        </is>
      </c>
      <c r="I19" s="7" t="inlineStr"/>
      <c r="J19" s="7" t="inlineStr"/>
    </row>
    <row r="20">
      <c r="A20" s="7" t="inlineStr">
        <is>
          <t>H-38</t>
        </is>
      </c>
      <c r="B20" s="7" t="inlineStr">
        <is>
          <t>generar-token audita CREAR aunque devuelva el token vigente</t>
        </is>
      </c>
      <c r="C20" s="7" t="inlineStr">
        <is>
          <t>Baja</t>
        </is>
      </c>
      <c r="D20" s="7" t="inlineStr">
        <is>
          <t>Dispensación</t>
        </is>
      </c>
      <c r="E20" s="7" t="inlineStr">
        <is>
          <t>Jorge Vargas</t>
        </is>
      </c>
      <c r="F20" s="7" t="inlineStr">
        <is>
          <t>Después del 24/10</t>
        </is>
      </c>
      <c r="G20" s="7" t="inlineStr">
        <is>
          <t>Que generarTokenCaptura devuelva { ..., creado: boolean } y la ruta audite solo si creado.</t>
        </is>
      </c>
      <c r="H20" s="7" t="inlineStr">
        <is>
          <t>Pendiente</t>
        </is>
      </c>
      <c r="I20" s="7" t="inlineStr"/>
      <c r="J20" s="7" t="inlineStr"/>
    </row>
    <row r="21">
      <c r="A21" s="7" t="inlineStr">
        <is>
          <t>H-29</t>
        </is>
      </c>
      <c r="B21" s="7" t="inlineStr">
        <is>
          <t>No se puede desactivar a un beneficiario</t>
        </is>
      </c>
      <c r="C21" s="7" t="inlineStr">
        <is>
          <t>Media</t>
        </is>
      </c>
      <c r="D21" s="7" t="inlineStr">
        <is>
          <t>Dispensación</t>
        </is>
      </c>
      <c r="E21" s="7" t="inlineStr">
        <is>
          <t>Jorge Vargas</t>
        </is>
      </c>
      <c r="F21" s="7" t="inlineStr">
        <is>
          <t>Después del 24/10</t>
        </is>
      </c>
      <c r="G21" s="7" t="inlineStr">
        <is>
          <t>Decisión (R-13): aprobada: solo desactivar, nunca borrar, conservando el historial; el rechazo del despacho sigue R-14. Recomendado: sí; aceptar activo en el PUT (solo ADMIN) con botón Activar/Desactivar; porque el campo ya existe y la convención del proyecto es *soft delete*.</t>
        </is>
      </c>
      <c r="H21" s="7" t="inlineStr">
        <is>
          <t>Pendiente</t>
        </is>
      </c>
      <c r="I21" s="7" t="inlineStr"/>
      <c r="J21" s="7" t="inlineStr"/>
    </row>
    <row r="22">
      <c r="A22" s="7" t="inlineStr">
        <is>
          <t>H-20 / D-17</t>
        </is>
      </c>
      <c r="B22" s="7" t="inlineStr">
        <is>
          <t>El Encargado no ve la página de Reportes, aunque el backend se lo permite</t>
        </is>
      </c>
      <c r="C22" s="7" t="inlineStr">
        <is>
          <t>Media</t>
        </is>
      </c>
      <c r="D22" s="7" t="inlineStr">
        <is>
          <t>Reportes</t>
        </is>
      </c>
      <c r="E22" s="7" t="inlineStr">
        <is>
          <t>Daniel Reyes</t>
        </is>
      </c>
      <c r="F22" s="7" t="inlineStr">
        <is>
          <t>Después del 24/10</t>
        </is>
      </c>
      <c r="G22" s="7" t="inlineStr">
        <is>
          <t>Decisión (R-19): R-07 queda como decisión del equipo; ya no espera confirmación de la municipalidad. Tras confirmar R-07: sacar /reportes de AdminRoute, agregar ENCARGADO_BENEFICENCIA al ítem del menú y ocultar los botones de exportar si !isAdmin (la exportación sigue siendo solo ADMIN en el backend).</t>
        </is>
      </c>
      <c r="H22" s="7" t="inlineStr">
        <is>
          <t>Pendiente</t>
        </is>
      </c>
      <c r="I22" s="7" t="inlineStr"/>
      <c r="J22" s="7" t="inlineStr"/>
    </row>
    <row r="23">
      <c r="A23" s="7" t="inlineStr">
        <is>
          <t>H-22 / D-24</t>
        </is>
      </c>
      <c r="B23" s="7" t="inlineStr">
        <is>
          <t>Los umbrales del semáforo no tienen pantalla de edición</t>
        </is>
      </c>
      <c r="C23" s="7" t="inlineStr">
        <is>
          <t>Media</t>
        </is>
      </c>
      <c r="D23" s="7" t="inlineStr">
        <is>
          <t>Inventario</t>
        </is>
      </c>
      <c r="E23" s="7" t="inlineStr">
        <is>
          <t>Daniel Reyes</t>
        </is>
      </c>
      <c r="F23" s="7" t="inlineStr">
        <is>
          <t>Después del 24/10</t>
        </is>
      </c>
      <c r="G23" s="7" t="inlineStr">
        <is>
          <t>Agregar, solo para ADMIN, un formulario "Umbrales de vencimiento" (rojo, amarillo) que use actualizarConfiguracion; el backend ya valida.</t>
        </is>
      </c>
      <c r="H23" s="7" t="inlineStr">
        <is>
          <t>Pendiente</t>
        </is>
      </c>
      <c r="I23" s="7" t="inlineStr"/>
      <c r="J23" s="7" t="inlineStr"/>
    </row>
    <row r="24">
      <c r="A24" s="7" t="inlineStr">
        <is>
          <t>H-27 / D-27</t>
        </is>
      </c>
      <c r="B24" s="7" t="inlineStr">
        <is>
          <t>Motivo de baja opcional, solo en la auditoría, y se puede dar de baja cualquier lote</t>
        </is>
      </c>
      <c r="C24" s="7" t="inlineStr">
        <is>
          <t>Media</t>
        </is>
      </c>
      <c r="D24" s="7" t="inlineStr">
        <is>
          <t>Inventario</t>
        </is>
      </c>
      <c r="E24" s="7" t="inlineStr">
        <is>
          <t>Daniel Reyes</t>
        </is>
      </c>
      <c r="F24" s="7" t="inlineStr">
        <is>
          <t>Después del 24/10</t>
        </is>
      </c>
      <c r="G24" s="7" t="inlineStr">
        <is>
          <t>Decisión (R-15): aprobada la opción recomendada; motivo obligatorio guardado en el lote y visible en el reporte. Requiere migración. Recomendado: motivo obligatorio (mínimo 5 caracteres) y permitir la baja de cualquier lote no dado de baja (vencido, dañado, extraviado); guardar motivo y fecha en el lote y mostrarlos en el reporte de bajas; porque la baja de lotes vigentes es la única corrección de inventario disponible (R-05).</t>
        </is>
      </c>
      <c r="H24" s="7" t="inlineStr">
        <is>
          <t>Pendiente</t>
        </is>
      </c>
      <c r="I24" s="7" t="inlineStr"/>
      <c r="J24" s="7" t="inlineStr"/>
    </row>
    <row r="25">
      <c r="A25" s="7" t="inlineStr">
        <is>
          <t>H-43</t>
        </is>
      </c>
      <c r="B25" s="7" t="inlineStr">
        <is>
          <t>GET /inventario y /inventario/entradas no controlan page/pageSize no numéricos (500 o null)</t>
        </is>
      </c>
      <c r="C25" s="7" t="inlineStr">
        <is>
          <t>Baja</t>
        </is>
      </c>
      <c r="D25" s="7" t="inlineStr">
        <is>
          <t>Inventario</t>
        </is>
      </c>
      <c r="E25" s="7" t="inlineStr">
        <is>
          <t>Daniel Reyes</t>
        </is>
      </c>
      <c r="F25" s="7" t="inlineStr">
        <is>
          <t>Después del 24/10</t>
        </is>
      </c>
      <c r="G25" s="7" t="inlineStr">
        <is>
          <t>Usar clampPaginacion de utils/validacion.ts, como en historial y auditoria.</t>
        </is>
      </c>
      <c r="H25" s="7" t="inlineStr">
        <is>
          <t>Pendiente</t>
        </is>
      </c>
      <c r="I25" s="7" t="inlineStr"/>
      <c r="J25" s="7" t="inlineStr"/>
    </row>
    <row r="26">
      <c r="A26" s="7" t="inlineStr">
        <is>
          <t>D-18</t>
        </is>
      </c>
      <c r="B26" s="7" t="inlineStr">
        <is>
          <t>Sin auditoría: cron DISPONIBLE→VENCIDO, marca usado y purga de tokens, vinculación de códigos en la importación</t>
        </is>
      </c>
      <c r="C26" s="7" t="inlineStr">
        <is>
          <t>Baja</t>
        </is>
      </c>
      <c r="D26" s="7" t="inlineStr">
        <is>
          <t>Inventario</t>
        </is>
      </c>
      <c r="E26" s="7" t="inlineStr">
        <is>
          <t>Daniel Reyes</t>
        </is>
      </c>
      <c r="F26" s="7" t="inlineStr">
        <is>
          <t>Después del 24/10</t>
        </is>
      </c>
      <c r="G26" s="7" t="inlineStr">
        <is>
          <t>Auditar CREAR codigo_barras en la importación (hay req.user). Aceptar los eventos automáticos: LogAuditoria.usuarioId es obligatorio (schema.prisma, línea 264) y el cambio a VENCIDO se deduce de la fecha; documentarlo así en la tesis.</t>
        </is>
      </c>
      <c r="H26" s="7" t="inlineStr">
        <is>
          <t>Pendiente</t>
        </is>
      </c>
      <c r="I26" s="7" t="inlineStr"/>
      <c r="J26" s="7" t="inlineStr"/>
    </row>
    <row r="27">
      <c r="A27" s="7" t="inlineStr">
        <is>
          <t>H-42</t>
        </is>
      </c>
      <c r="B27" s="7" t="inlineStr">
        <is>
          <t>Alta de categorías y ubicaciones compara sin recortar y guarda recortado → 500 en vez de 409</t>
        </is>
      </c>
      <c r="C27" s="7" t="inlineStr">
        <is>
          <t>Baja</t>
        </is>
      </c>
      <c r="D27" s="7" t="inlineStr">
        <is>
          <t>Catálogos</t>
        </is>
      </c>
      <c r="E27" s="7" t="inlineStr">
        <is>
          <t>Audias Guevara</t>
        </is>
      </c>
      <c r="F27" s="7" t="inlineStr">
        <is>
          <t>Antes del 24/10</t>
        </is>
      </c>
      <c r="G27" s="7" t="inlineStr">
        <is>
          <t>Recortar antes de comprobar, comparar con mode: 'insensitive' (igual que la importación) y usar responderError en el catch.</t>
        </is>
      </c>
      <c r="H27" s="7" t="inlineStr">
        <is>
          <t>Pendiente</t>
        </is>
      </c>
      <c r="I27" s="7" t="inlineStr"/>
      <c r="J27" s="7" t="inlineStr"/>
    </row>
    <row r="28">
      <c r="A28" s="7" t="inlineStr">
        <is>
          <t>H-31</t>
        </is>
      </c>
      <c r="B28" s="7" t="inlineStr">
        <is>
          <t>El 409 del código de barras dice "otro medicamento" aunque sea el mismo</t>
        </is>
      </c>
      <c r="C28" s="7" t="inlineStr">
        <is>
          <t>Baja</t>
        </is>
      </c>
      <c r="D28" s="7" t="inlineStr">
        <is>
          <t>Catálogos</t>
        </is>
      </c>
      <c r="E28" s="7" t="inlineStr">
        <is>
          <t>Audias Guevara</t>
        </is>
      </c>
      <c r="F28" s="7" t="inlineStr">
        <is>
          <t>Antes del 24/10</t>
        </is>
      </c>
      <c r="G28" s="7" t="inlineStr">
        <is>
          <t>Si existente.medicamentoId === id, responder "Este código ya está registrado en este medicamento".</t>
        </is>
      </c>
      <c r="H28" s="7" t="inlineStr">
        <is>
          <t>Pendiente</t>
        </is>
      </c>
      <c r="I28" s="7" t="inlineStr"/>
      <c r="J28" s="7" t="inlineStr"/>
    </row>
    <row r="29">
      <c r="A29" s="7" t="inlineStr">
        <is>
          <t>H-44</t>
        </is>
      </c>
      <c r="B29" s="7" t="inlineStr">
        <is>
          <t>La exportación de inventario no valida estado (500 donde la consulta da 400)</t>
        </is>
      </c>
      <c r="C29" s="7" t="inlineStr">
        <is>
          <t>Baja</t>
        </is>
      </c>
      <c r="D29" s="7" t="inlineStr">
        <is>
          <t>Reportes</t>
        </is>
      </c>
      <c r="E29" s="7" t="inlineStr">
        <is>
          <t>Daniel Reyes</t>
        </is>
      </c>
      <c r="F29" s="7" t="inlineStr">
        <is>
          <t>Antes del 24/10</t>
        </is>
      </c>
      <c r="G29" s="7" t="inlineStr">
        <is>
          <t>Extraer la validación de estado de inventario-actual a una función y usarla también en exportar.</t>
        </is>
      </c>
      <c r="H29" s="7" t="inlineStr">
        <is>
          <t>Pendiente</t>
        </is>
      </c>
      <c r="I29" s="7" t="inlineStr"/>
      <c r="J29" s="7" t="inlineStr"/>
    </row>
    <row r="30">
      <c r="A30" s="7" t="inlineStr">
        <is>
          <t>H-47</t>
        </is>
      </c>
      <c r="B30" s="7" t="inlineStr">
        <is>
          <t>La pantalla de inicio de sesión no muestra los intentos restantes que devuelve el 401</t>
        </is>
      </c>
      <c r="C30" s="7" t="inlineStr">
        <is>
          <t>Baja</t>
        </is>
      </c>
      <c r="D30" s="7" t="inlineStr">
        <is>
          <t>Auth</t>
        </is>
      </c>
      <c r="E30" s="7" t="inlineStr">
        <is>
          <t>Daniel Reyes</t>
        </is>
      </c>
      <c r="F30" s="7" t="inlineStr">
        <is>
          <t>Después del 24/10</t>
        </is>
      </c>
      <c r="G30" s="7" t="inlineStr">
        <is>
          <t>Si la respuesta trae intentosRestantes, agregarlo al aviso: "Credenciales inválidas. Le quedan N intento(s) antes de un bloqueo de 5 minutos."</t>
        </is>
      </c>
      <c r="H30" s="7" t="inlineStr">
        <is>
          <t>Pendiente</t>
        </is>
      </c>
      <c r="I30" s="7" t="inlineStr"/>
      <c r="J30" s="7" t="inlineStr"/>
    </row>
    <row r="31">
      <c r="A31" s="7" t="inlineStr">
        <is>
          <t>H-48</t>
        </is>
      </c>
      <c r="B31" s="7" t="inlineStr">
        <is>
          <t>La importación por Excel rechaza la fila por categoría inactiva aunque el medicamento exista y esté activo</t>
        </is>
      </c>
      <c r="C31" s="7" t="inlineStr">
        <is>
          <t>Baja</t>
        </is>
      </c>
      <c r="D31" s="7" t="inlineStr">
        <is>
          <t>Inventario</t>
        </is>
      </c>
      <c r="E31" s="7" t="inlineStr">
        <is>
          <t>Daniel Reyes</t>
        </is>
      </c>
      <c r="F31" s="7" t="inlineStr">
        <is>
          <t>Después del 24/10</t>
        </is>
      </c>
      <c r="G31" s="7" t="inlineStr">
        <is>
          <t>Buscar primero el medicamento; comprobar o crear la categoría solo cuando haya que crear el medicamento.</t>
        </is>
      </c>
      <c r="H31" s="7" t="inlineStr">
        <is>
          <t>Pendiente</t>
        </is>
      </c>
      <c r="I31" s="7" t="inlineStr"/>
      <c r="J31" s="7" t="inlineStr"/>
    </row>
    <row r="32">
      <c r="A32" s="7" t="inlineStr">
        <is>
          <t>D-32</t>
        </is>
      </c>
      <c r="B32" s="7" t="inlineStr">
        <is>
          <t>docker-compose.prod.yml dice que el seed se corre una vez a mano; el entrypoint lo corre en cada arranque</t>
        </is>
      </c>
      <c r="C32" s="7" t="inlineStr">
        <is>
          <t>Baja</t>
        </is>
      </c>
      <c r="D32" s="7" t="inlineStr">
        <is>
          <t>Setup</t>
        </is>
      </c>
      <c r="E32" s="7" t="inlineStr">
        <is>
          <t>Daniel Reyes</t>
        </is>
      </c>
      <c r="F32" s="7" t="inlineStr">
        <is>
          <t>Después del 24/10</t>
        </is>
      </c>
      <c r="G32" s="7" t="inlineStr">
        <is>
          <t>Corregir el comentario: el seed corre en cada arranque y es idempotente; el comando manual solo sirve para repetirlo.</t>
        </is>
      </c>
      <c r="H32" s="7" t="inlineStr">
        <is>
          <t>Pendiente</t>
        </is>
      </c>
      <c r="I32" s="7" t="inlineStr"/>
      <c r="J32" s="7" t="inlineStr"/>
    </row>
    <row r="33">
      <c r="A33" s="7" t="inlineStr">
        <is>
          <t>D-33</t>
        </is>
      </c>
      <c r="B33" s="7" t="inlineStr">
        <is>
          <t>RESPALDOS.md usa docker compose stop/start api sin -f</t>
        </is>
      </c>
      <c r="C33" s="7" t="inlineStr">
        <is>
          <t>Baja</t>
        </is>
      </c>
      <c r="D33" s="7" t="inlineStr">
        <is>
          <t>Setup</t>
        </is>
      </c>
      <c r="E33" s="7" t="inlineStr">
        <is>
          <t>Daniel Reyes</t>
        </is>
      </c>
      <c r="F33" s="7" t="inlineStr">
        <is>
          <t>Después del 24/10</t>
        </is>
      </c>
      <c r="G33" s="7" t="inlineStr">
        <is>
          <t>Decisión (R-10): los comandos usan docker-compose.yml, el archivo del servidor. Escribir los comandos con el mismo archivo de Compose que use auto-update.cmd (decisión de H-36), o usar docker stop farmag_api / docker start farmag_api, que no dependen del archivo.</t>
        </is>
      </c>
      <c r="H33" s="7" t="inlineStr">
        <is>
          <t>Pendiente</t>
        </is>
      </c>
      <c r="I33" s="7" t="inlineStr"/>
      <c r="J33" s="7" t="inlineStr"/>
    </row>
    <row r="34">
      <c r="A34" s="7" t="inlineStr">
        <is>
          <t>D-35</t>
        </is>
      </c>
      <c r="B34" s="7" t="inlineStr">
        <is>
          <t>DESPLIEGUE.md dice que el trabajo despliegue prueba dos configuraciones; son tres y ninguna usa el archivo de producción</t>
        </is>
      </c>
      <c r="C34" s="7" t="inlineStr">
        <is>
          <t>Baja</t>
        </is>
      </c>
      <c r="D34" s="7" t="inlineStr">
        <is>
          <t>Setup</t>
        </is>
      </c>
      <c r="E34" s="7" t="inlineStr">
        <is>
          <t>Daniel Reyes</t>
        </is>
      </c>
      <c r="F34" s="7" t="inlineStr">
        <is>
          <t>Después del 24/10</t>
        </is>
      </c>
      <c r="G34" s="7" t="inlineStr">
        <is>
          <t>Corregir la fila de la tabla (tres configuraciones, todas con docker-compose.yml); si se agrega la de producción (H-51), nombrarla.</t>
        </is>
      </c>
      <c r="H34" s="7" t="inlineStr">
        <is>
          <t>Pendiente</t>
        </is>
      </c>
      <c r="I34" s="7" t="inlineStr"/>
      <c r="J34" s="7" t="inlineStr"/>
    </row>
    <row r="35">
      <c r="A35" s="7" t="inlineStr">
        <is>
          <t>H-23</t>
        </is>
      </c>
      <c r="B35" s="7" t="inlineStr">
        <is>
          <t>La operación diaria se hace con una cuenta ADMIN</t>
        </is>
      </c>
      <c r="C35" s="7" t="inlineStr">
        <is>
          <t>Media</t>
        </is>
      </c>
      <c r="D35" s="7" t="inlineStr">
        <is>
          <t>Operación</t>
        </is>
      </c>
      <c r="E35" s="7" t="inlineStr">
        <is>
          <t>Municipalidad</t>
        </is>
      </c>
      <c r="F35" s="7" t="inlineStr">
        <is>
          <t>Después del 24/10</t>
        </is>
      </c>
      <c r="G35" s="7" t="inlineStr">
        <is>
          <t>El ADMIN crea desde la pantalla de Usuarios una cuenta ENCARGADO_BENEFICENCIA para el despacho y reserva la ADMIN; no requiere acceso al servidor. Depende del lote 7 (H-20): sin reportes el Encargado no puede trabajar.</t>
        </is>
      </c>
      <c r="H35" s="7" t="inlineStr">
        <is>
          <t>Pendiente</t>
        </is>
      </c>
      <c r="I35" s="7" t="inlineStr"/>
      <c r="J35" s="7" t="inlineStr"/>
    </row>
  </sheetData>
  <autoFilter ref="A1:J35"/>
  <dataValidations count="1">
    <dataValidation sqref="H2:H35" showDropDown="0" showInputMessage="0" showErrorMessage="0" allowBlank="0" errorTitle="Estado" error="Elija un valor de la lista" type="list">
      <formula1>"Pendiente,En curso,PR abierto,Mezclado"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0" customWidth="1" min="2" max="2"/>
    <col width="55" customWidth="1" min="3" max="3"/>
    <col width="22" customWidth="1" min="4" max="4"/>
    <col width="40" customWidth="1" min="5" max="5"/>
  </cols>
  <sheetData>
    <row r="1" ht="30" customHeight="1">
      <c r="A1" s="6" t="inlineStr">
        <is>
          <t>#</t>
        </is>
      </c>
      <c r="B1" s="6" t="inlineStr">
        <is>
          <t>Dato</t>
        </is>
      </c>
      <c r="C1" s="6" t="inlineStr">
        <is>
          <t>Dónde se usa (capítulo y sección)</t>
        </is>
      </c>
      <c r="D1" s="6" t="inlineStr">
        <is>
          <t>Quién lo puede responder</t>
        </is>
      </c>
      <c r="E1" s="6" t="inlineStr">
        <is>
          <t>Respuesta</t>
        </is>
      </c>
    </row>
    <row r="2">
      <c r="A2" s="7" t="n">
        <v>1</v>
      </c>
      <c r="B2" s="7" t="inlineStr">
        <is>
          <t>Nombre oficial de la facultad</t>
        </is>
      </c>
      <c r="C2" s="7" t="inlineStr">
        <is>
          <t>Portada</t>
        </is>
      </c>
      <c r="D2" s="7" t="inlineStr">
        <is>
          <t>Audias</t>
        </is>
      </c>
      <c r="E2" s="8" t="inlineStr"/>
    </row>
    <row r="3">
      <c r="A3" s="7" t="n">
        <v>2</v>
      </c>
      <c r="B3" s="7" t="inlineStr">
        <is>
          <t>Nombre oficial de la carrera, si difiere de "Ingeniería en Sistemas"</t>
        </is>
      </c>
      <c r="C3" s="7" t="inlineStr">
        <is>
          <t>Portada</t>
        </is>
      </c>
      <c r="D3" s="7" t="inlineStr">
        <is>
          <t>Audias</t>
        </is>
      </c>
      <c r="E3" s="8" t="inlineStr"/>
    </row>
    <row r="4">
      <c r="A4" s="7" t="n">
        <v>3</v>
      </c>
      <c r="B4" s="7" t="inlineStr">
        <is>
          <t>Sede o centro universitario</t>
        </is>
      </c>
      <c r="C4" s="7" t="inlineStr">
        <is>
          <t>Portada</t>
        </is>
      </c>
      <c r="D4" s="7" t="inlineStr">
        <is>
          <t>Audias</t>
        </is>
      </c>
      <c r="E4" s="8" t="inlineStr"/>
    </row>
    <row r="5">
      <c r="A5" s="7" t="n">
        <v>4</v>
      </c>
      <c r="B5" s="7" t="inlineStr">
        <is>
          <t>Título oficial del trabajo, si difiere del de la portada</t>
        </is>
      </c>
      <c r="C5" s="7" t="inlineStr">
        <is>
          <t>Portada</t>
        </is>
      </c>
      <c r="D5" s="7" t="inlineStr">
        <is>
          <t>Audias</t>
        </is>
      </c>
      <c r="E5" s="8" t="inlineStr"/>
    </row>
    <row r="6">
      <c r="A6" s="7" t="n">
        <v>5</v>
      </c>
      <c r="B6" s="7" t="inlineStr">
        <is>
          <t>Nombre completo y carné de Daniel Reyes</t>
        </is>
      </c>
      <c r="C6" s="7" t="inlineStr">
        <is>
          <t>Portada</t>
        </is>
      </c>
      <c r="D6" s="7" t="inlineStr">
        <is>
          <t>Daniel</t>
        </is>
      </c>
      <c r="E6" s="8" t="inlineStr"/>
    </row>
    <row r="7">
      <c r="A7" s="7" t="n">
        <v>6</v>
      </c>
      <c r="B7" s="7" t="inlineStr">
        <is>
          <t>Nombre completo y carné de Jorge Vargas</t>
        </is>
      </c>
      <c r="C7" s="7" t="inlineStr">
        <is>
          <t>Portada</t>
        </is>
      </c>
      <c r="D7" s="7" t="inlineStr">
        <is>
          <t>Jorge</t>
        </is>
      </c>
      <c r="E7" s="8" t="inlineStr"/>
    </row>
    <row r="8">
      <c r="A8" s="7" t="n">
        <v>7</v>
      </c>
      <c r="B8" s="7" t="inlineStr">
        <is>
          <t>Título académico exacto del docente del curso</t>
        </is>
      </c>
      <c r="C8" s="7" t="inlineStr">
        <is>
          <t>Portada</t>
        </is>
      </c>
      <c r="D8" s="7" t="inlineStr">
        <is>
          <t>Audias</t>
        </is>
      </c>
      <c r="E8" s="8" t="inlineStr"/>
    </row>
    <row r="9">
      <c r="A9" s="7" t="n">
        <v>8</v>
      </c>
      <c r="B9" s="7" t="inlineStr">
        <is>
          <t>Lugar de la portada</t>
        </is>
      </c>
      <c r="C9" s="7" t="inlineStr">
        <is>
          <t>Portada</t>
        </is>
      </c>
      <c r="D9" s="7" t="inlineStr">
        <is>
          <t>Audias</t>
        </is>
      </c>
      <c r="E9" s="8" t="inlineStr"/>
    </row>
    <row r="10">
      <c r="A10" s="7" t="n">
        <v>9</v>
      </c>
      <c r="B10" s="7" t="inlineStr">
        <is>
          <t>Autoridades de la facultad según el formato de la universidad</t>
        </is>
      </c>
      <c r="C10" s="7" t="inlineStr">
        <is>
          <t>Portada, página de autoridades</t>
        </is>
      </c>
      <c r="D10" s="7" t="inlineStr">
        <is>
          <t>Audias</t>
        </is>
      </c>
      <c r="E10" s="8" t="inlineStr"/>
    </row>
    <row r="11">
      <c r="A11" s="7" t="n">
        <v>10</v>
      </c>
      <c r="B11" s="7" t="inlineStr">
        <is>
          <t>Resultado de las pruebas funcionales (registro de ejecución de pruebas/)</t>
        </is>
      </c>
      <c r="C11" s="7" t="inlineStr">
        <is>
          <t>Resumen</t>
        </is>
      </c>
      <c r="D11" s="7" t="inlineStr">
        <is>
          <t>Audias</t>
        </is>
      </c>
      <c r="E11" s="8" t="inlineStr"/>
    </row>
    <row r="12">
      <c r="A12" s="7" t="n">
        <v>11</v>
      </c>
      <c r="B12" s="7" t="inlineStr">
        <is>
          <t>Fecha exacta de la reunión inicial con la municipalidad y nombres de los participantes</t>
        </is>
      </c>
      <c r="C12" s="7" t="inlineStr">
        <is>
          <t>Cap. 1, 1.1 Antecedentes</t>
        </is>
      </c>
      <c r="D12" s="7" t="inlineStr">
        <is>
          <t>Daniel</t>
        </is>
      </c>
      <c r="E12" s="8" t="inlineStr"/>
    </row>
    <row r="13">
      <c r="A13" s="7" t="n">
        <v>12</v>
      </c>
      <c r="B13" s="7" t="inlineStr">
        <is>
          <t>Fecha de instalación, fecha de inicio de operación y persona(s) que realizaron la instalación</t>
        </is>
      </c>
      <c r="C13" s="7" t="inlineStr">
        <is>
          <t>Cap. 1, 1.1 Antecedentes; Cap. 6, 6.4 Iteraciones del proyecto; analisis/pendientes_instalacion.md, fila 1</t>
        </is>
      </c>
      <c r="D13" s="7" t="inlineStr">
        <is>
          <t>Daniel</t>
        </is>
      </c>
      <c r="E13" s="8" t="inlineStr"/>
    </row>
    <row r="14">
      <c r="A14" s="7" t="n">
        <v>13</v>
      </c>
      <c r="B14" s="7" t="inlineStr">
        <is>
          <t>Motivo de la exclusión del ajuste manual de stock (R-05, pendiente de confirmación con el equipo)</t>
        </is>
      </c>
      <c r="C14" s="7" t="inlineStr">
        <is>
          <t>Cap. 1, 1.5.2 Exclusiones del alcance; Cap. 6, 6.6.1 Cambios respecto a la especificación</t>
        </is>
      </c>
      <c r="D14" s="7" t="inlineStr">
        <is>
          <t>Daniel</t>
        </is>
      </c>
      <c r="E14" s="8" t="inlineStr"/>
    </row>
    <row r="15">
      <c r="A15" s="7" t="n">
        <v>14</v>
      </c>
      <c r="B15" s="7" t="inlineStr">
        <is>
          <t>Referencia normativa u oficial sobre dispensación de medicamentos en Guatemala</t>
        </is>
      </c>
      <c r="C15" s="7" t="inlineStr">
        <is>
          <t>Cap. 2, Referencias del capítulo</t>
        </is>
      </c>
      <c r="D15" s="7" t="inlineStr">
        <is>
          <t>Audias</t>
        </is>
      </c>
      <c r="E15" s="8" t="inlineStr"/>
    </row>
    <row r="16">
      <c r="A16" s="7" t="n">
        <v>15</v>
      </c>
      <c r="B16" s="7" t="inlineStr">
        <is>
          <t>Unidad o persona de la municipalidad responsable del equipo servidor y su cargo</t>
        </is>
      </c>
      <c r="C16" s="7" t="inlineStr">
        <is>
          <t>Cap. 3, 3.2 Interesados y usuarios</t>
        </is>
      </c>
      <c r="D16" s="7" t="inlineStr">
        <is>
          <t>Municipalidad</t>
        </is>
      </c>
      <c r="E16" s="8" t="inlineStr"/>
    </row>
    <row r="17">
      <c r="A17" s="7" t="n">
        <v>16</v>
      </c>
      <c r="B17" s="7" t="inlineStr">
        <is>
          <t>Nombre del asesor</t>
        </is>
      </c>
      <c r="C17" s="7" t="inlineStr">
        <is>
          <t>Cap. 3, 3.2 Interesados y usuarios</t>
        </is>
      </c>
      <c r="D17" s="7" t="inlineStr">
        <is>
          <t>Audias</t>
        </is>
      </c>
      <c r="E17" s="8" t="inlineStr"/>
    </row>
    <row r="18">
      <c r="A18" s="7" t="n">
        <v>17</v>
      </c>
      <c r="B18" s="7" t="inlineStr">
        <is>
          <t>Costo del equipo servidor, o si es equipo existente de la municipalidad</t>
        </is>
      </c>
      <c r="C18" s="7" t="inlineStr">
        <is>
          <t>Cap. 3, 3.5.3 Factibilidad económica (Tabla 10)</t>
        </is>
      </c>
      <c r="D18" s="7" t="inlineStr">
        <is>
          <t>Municipalidad</t>
        </is>
      </c>
      <c r="E18" s="8" t="inlineStr"/>
    </row>
    <row r="19">
      <c r="A19" s="7" t="n">
        <v>18</v>
      </c>
      <c r="B19" s="7" t="inlineStr">
        <is>
          <t>Costo de la red local y de los equipos cliente</t>
        </is>
      </c>
      <c r="C19" s="7" t="inlineStr">
        <is>
          <t>Cap. 3, 3.5.3 Factibilidad económica (Tabla 10)</t>
        </is>
      </c>
      <c r="D19" s="7" t="inlineStr">
        <is>
          <t>Municipalidad</t>
        </is>
      </c>
      <c r="E19" s="8" t="inlineStr"/>
    </row>
    <row r="20">
      <c r="A20" s="7" t="n">
        <v>19</v>
      </c>
      <c r="B20" s="7" t="inlineStr">
        <is>
          <t>Si se adquirió el lector de código de barras y su costo</t>
        </is>
      </c>
      <c r="C20" s="7" t="inlineStr">
        <is>
          <t>Cap. 3, 3.5.3 Factibilidad económica (Tabla 10)</t>
        </is>
      </c>
      <c r="D20" s="7" t="inlineStr">
        <is>
          <t>Municipalidad</t>
        </is>
      </c>
      <c r="E20" s="8" t="inlineStr"/>
    </row>
    <row r="21">
      <c r="A21" s="7" t="n">
        <v>20</v>
      </c>
      <c r="B21" s="7" t="inlineStr">
        <is>
          <t>Confirmar que el costo de licencias de software es 0</t>
        </is>
      </c>
      <c r="C21" s="7" t="inlineStr">
        <is>
          <t>Cap. 3, 3.5.3 Factibilidad económica (Tabla 10)</t>
        </is>
      </c>
      <c r="D21" s="7" t="inlineStr">
        <is>
          <t>Daniel</t>
        </is>
      </c>
      <c r="E21" s="8" t="inlineStr"/>
    </row>
    <row r="22">
      <c r="A22" s="7" t="n">
        <v>21</v>
      </c>
      <c r="B22" s="7" t="inlineStr">
        <is>
          <t>Horas de desarrollo estimadas y criterio de valoración, si se incluye</t>
        </is>
      </c>
      <c r="C22" s="7" t="inlineStr">
        <is>
          <t>Cap. 3, 3.5.3 Factibilidad económica (Tabla 10)</t>
        </is>
      </c>
      <c r="D22" s="7" t="inlineStr">
        <is>
          <t>Audias</t>
        </is>
      </c>
      <c r="E22" s="8" t="inlineStr"/>
    </row>
    <row r="23">
      <c r="A23" s="7" t="n">
        <v>22</v>
      </c>
      <c r="B23" s="7" t="inlineStr">
        <is>
          <t>Costo de instalación y capacitación (traslados, instalación en sitio)</t>
        </is>
      </c>
      <c r="C23" s="7" t="inlineStr">
        <is>
          <t>Cap. 3, 3.5.3 Factibilidad económica (Tabla 10)</t>
        </is>
      </c>
      <c r="D23" s="7" t="inlineStr">
        <is>
          <t>Daniel</t>
        </is>
      </c>
      <c r="E23" s="8" t="inlineStr"/>
    </row>
    <row r="24">
      <c r="A24" s="7" t="n">
        <v>23</v>
      </c>
      <c r="B24" s="7" t="inlineStr">
        <is>
          <t>Total de costos del proyecto (se calcula con los anteriores)</t>
        </is>
      </c>
      <c r="C24" s="7" t="inlineStr">
        <is>
          <t>Cap. 3, 3.5.3 Factibilidad económica (Tabla 10)</t>
        </is>
      </c>
      <c r="D24" s="7" t="inlineStr">
        <is>
          <t>Audias</t>
        </is>
      </c>
      <c r="E24" s="8" t="inlineStr"/>
    </row>
    <row r="25">
      <c r="A25" s="7" t="n">
        <v>24</v>
      </c>
      <c r="B25" s="7" t="inlineStr">
        <is>
          <t>Horario de operación de la farmacia y disponibilidad esperada del sistema</t>
        </is>
      </c>
      <c r="C25" s="7" t="inlineStr">
        <is>
          <t>Cap. 4, 4.3.2 Fiabilidad (RNF-21)</t>
        </is>
      </c>
      <c r="D25" s="7" t="inlineStr">
        <is>
          <t>Municipalidad</t>
        </is>
      </c>
      <c r="E25" s="8" t="inlineStr"/>
    </row>
    <row r="26">
      <c r="A26" s="7" t="n">
        <v>25</v>
      </c>
      <c r="B26" s="7" t="inlineStr">
        <is>
          <t>Resultado de la prueba de captura por QR con un teléfono real en la farmacia</t>
        </is>
      </c>
      <c r="C26" s="7" t="inlineStr">
        <is>
          <t>Cap. 4, 4.3.3 Usabilidad (RNF-26); pruebas/, CP-77</t>
        </is>
      </c>
      <c r="D26" s="7" t="inlineStr">
        <is>
          <t>Jorge</t>
        </is>
      </c>
      <c r="E26" s="8" t="inlineStr"/>
    </row>
    <row r="27">
      <c r="A27" s="7" t="n">
        <v>26</v>
      </c>
      <c r="B27" s="7" t="inlineStr">
        <is>
          <t>Tiempo de respuesta con 4 usuarios simultáneos y prueba de carga, si se realiza</t>
        </is>
      </c>
      <c r="C27" s="7" t="inlineStr">
        <is>
          <t>Cap. 4, 4.3.4 Eficiencia de desempeño (RNF-32)</t>
        </is>
      </c>
      <c r="D27" s="7" t="inlineStr">
        <is>
          <t>Daniel</t>
        </is>
      </c>
      <c r="E27" s="8" t="inlineStr"/>
    </row>
    <row r="28">
      <c r="A28" s="7" t="n">
        <v>27</v>
      </c>
      <c r="B28" s="7" t="inlineStr">
        <is>
          <t>Si la protección de la rama main exige los trabajos del workflow "Despliegue seguro"</t>
        </is>
      </c>
      <c r="C28" s="7" t="inlineStr">
        <is>
          <t>Cap. 4, 4.3.5 Mantenibilidad (RNF-34)</t>
        </is>
      </c>
      <c r="D28" s="7" t="inlineStr">
        <is>
          <t>Daniel</t>
        </is>
      </c>
      <c r="E28" s="8" t="inlineStr"/>
    </row>
    <row r="29">
      <c r="A29" s="7" t="n">
        <v>28</v>
      </c>
      <c r="B29" s="7" t="inlineStr">
        <is>
          <t>Número de equipos cliente y navegadores (con versión) usados en la farmacia</t>
        </is>
      </c>
      <c r="C29" s="7" t="inlineStr">
        <is>
          <t>Cap. 4, 4.3.6 Portabilidad (RNF-39); Cap. 7, 7.1.2 Equipos cliente; analisis/pendientes_instalacion.md, fila 5</t>
        </is>
      </c>
      <c r="D29" s="7" t="inlineStr">
        <is>
          <t>Municipalidad</t>
        </is>
      </c>
      <c r="E29" s="8" t="inlineStr"/>
    </row>
    <row r="30">
      <c r="A30" s="7" t="n">
        <v>29</v>
      </c>
      <c r="B30" s="7" t="inlineStr">
        <is>
          <t>Archivo de composición y modo de ejecución (FRONTEND_TARGET) del servidor de la farmacia</t>
        </is>
      </c>
      <c r="C30" s="7" t="inlineStr">
        <is>
          <t>Cap. 5, 5.6.4 Vista física; analisis/pendientes_instalacion.md, fila 4</t>
        </is>
      </c>
      <c r="D30" s="7" t="inlineStr">
        <is>
          <t>Daniel</t>
        </is>
      </c>
      <c r="E30" s="8" t="inlineStr"/>
    </row>
    <row r="31">
      <c r="A31" s="7" t="n">
        <v>30</v>
      </c>
      <c r="B31" s="7" t="inlineStr">
        <is>
          <t>Captura de pantalla del panel</t>
        </is>
      </c>
      <c r="C31" s="7" t="inlineStr">
        <is>
          <t>Cap. 5, 5.9 Diseño de la interfaz</t>
        </is>
      </c>
      <c r="D31" s="7" t="inlineStr">
        <is>
          <t>Compañero del manual</t>
        </is>
      </c>
      <c r="E31" s="8" t="inlineStr"/>
    </row>
    <row r="32">
      <c r="A32" s="7" t="n">
        <v>31</v>
      </c>
      <c r="B32" s="7" t="inlineStr">
        <is>
          <t>Captura de pantalla de la página de captura en un teléfono</t>
        </is>
      </c>
      <c r="C32" s="7" t="inlineStr">
        <is>
          <t>Cap. 5, 5.9 Diseño de la interfaz</t>
        </is>
      </c>
      <c r="D32" s="7" t="inlineStr">
        <is>
          <t>Jorge</t>
        </is>
      </c>
      <c r="E32" s="8" t="inlineStr"/>
    </row>
    <row r="33">
      <c r="A33" s="7" t="n">
        <v>32</v>
      </c>
      <c r="B33" s="7" t="inlineStr">
        <is>
          <t>Captura de pantalla de Existencias con el semáforo</t>
        </is>
      </c>
      <c r="C33" s="7" t="inlineStr">
        <is>
          <t>Cap. 5, 5.9 Diseño de la interfaz</t>
        </is>
      </c>
      <c r="D33" s="7" t="inlineStr">
        <is>
          <t>Compañero del manual</t>
        </is>
      </c>
      <c r="E33" s="8" t="inlineStr"/>
    </row>
    <row r="34">
      <c r="A34" s="7" t="n">
        <v>33</v>
      </c>
      <c r="B34" s="7" t="inlineStr">
        <is>
          <t>Sistema operativo y versión del servidor</t>
        </is>
      </c>
      <c r="C34" s="7" t="inlineStr">
        <is>
          <t>Cap. 7, 7.1.1 Servidor; analisis/pendientes_instalacion.md, fila 2</t>
        </is>
      </c>
      <c r="D34" s="7" t="inlineStr">
        <is>
          <t>Municipalidad</t>
        </is>
      </c>
      <c r="E34" s="8" t="inlineStr"/>
    </row>
    <row r="35">
      <c r="A35" s="7" t="n">
        <v>34</v>
      </c>
      <c r="B35" s="7" t="inlineStr">
        <is>
          <t>Plataforma Docker y versiones de Docker y Docker Compose (docker compose version)</t>
        </is>
      </c>
      <c r="C35" s="7" t="inlineStr">
        <is>
          <t>Cap. 7, 7.1.1 Servidor y 7.1.3 Licenciamiento; analisis/pendientes_instalacion.md, fila 3</t>
        </is>
      </c>
      <c r="D35" s="7" t="inlineStr">
        <is>
          <t>Municipalidad</t>
        </is>
      </c>
      <c r="E35" s="8" t="inlineStr"/>
    </row>
    <row r="36">
      <c r="A36" s="7" t="n">
        <v>35</v>
      </c>
      <c r="B36" s="7" t="inlineStr">
        <is>
          <t>Versión de Git instalada en el servidor</t>
        </is>
      </c>
      <c r="C36" s="7" t="inlineStr">
        <is>
          <t>Cap. 7, 7.1.1 Servidor</t>
        </is>
      </c>
      <c r="D36" s="7" t="inlineStr">
        <is>
          <t>Municipalidad</t>
        </is>
      </c>
      <c r="E36" s="8" t="inlineStr"/>
    </row>
    <row r="37">
      <c r="A37" s="7" t="n">
        <v>36</v>
      </c>
      <c r="B37" s="7" t="inlineStr">
        <is>
          <t>Memoria RAM del servidor</t>
        </is>
      </c>
      <c r="C37" s="7" t="inlineStr">
        <is>
          <t>Cap. 7, 7.1.1 Servidor; analisis/pendientes_instalacion.md, fila 2</t>
        </is>
      </c>
      <c r="D37" s="7" t="inlineStr">
        <is>
          <t>Municipalidad</t>
        </is>
      </c>
      <c r="E37" s="8" t="inlineStr"/>
    </row>
    <row r="38">
      <c r="A38" s="7" t="n">
        <v>37</v>
      </c>
      <c r="B38" s="7" t="inlineStr">
        <is>
          <t>Capacidad y espacio libre del disco del servidor</t>
        </is>
      </c>
      <c r="C38" s="7" t="inlineStr">
        <is>
          <t>Cap. 7, 7.1.1 Servidor; analisis/pendientes_instalacion.md, fila 2</t>
        </is>
      </c>
      <c r="D38" s="7" t="inlineStr">
        <is>
          <t>Municipalidad</t>
        </is>
      </c>
      <c r="E38" s="8" t="inlineStr"/>
    </row>
    <row r="39">
      <c r="A39" s="7" t="n">
        <v>38</v>
      </c>
      <c r="B39" s="7" t="inlineStr">
        <is>
          <t>Marca, modelo y procesador del servidor</t>
        </is>
      </c>
      <c r="C39" s="7" t="inlineStr">
        <is>
          <t>Cap. 7, 7.1.1 Servidor; analisis/pendientes_instalacion.md, fila 2</t>
        </is>
      </c>
      <c r="D39" s="7" t="inlineStr">
        <is>
          <t>Municipalidad</t>
        </is>
      </c>
      <c r="E39" s="8" t="inlineStr"/>
    </row>
    <row r="40">
      <c r="A40" s="7" t="n">
        <v>39</v>
      </c>
      <c r="B40" s="7" t="inlineStr">
        <is>
          <t>Dirección de acceso (IP:puerto), cortafuegos activo y puertos abiertos</t>
        </is>
      </c>
      <c r="C40" s="7" t="inlineStr">
        <is>
          <t>Cap. 7, 7.1.1 Servidor; analisis/pendientes_instalacion.md, filas 5 y 7</t>
        </is>
      </c>
      <c r="D40" s="7" t="inlineStr">
        <is>
          <t>Municipalidad</t>
        </is>
      </c>
      <c r="E40" s="8" t="inlineStr"/>
    </row>
    <row r="41">
      <c r="A41" s="7" t="n">
        <v>40</v>
      </c>
      <c r="B41" s="7" t="inlineStr">
        <is>
          <t>Frecuencia y responsable de revisar ESTADO_ARRANQUE.txt y los respaldos</t>
        </is>
      </c>
      <c r="C41" s="7" t="inlineStr">
        <is>
          <t>Cap. 7, 7.7.2 Tareas periódicas</t>
        </is>
      </c>
      <c r="D41" s="7" t="inlineStr">
        <is>
          <t>Municipalidad</t>
        </is>
      </c>
      <c r="E41" s="8" t="inlineStr"/>
    </row>
    <row r="42">
      <c r="A42" s="7" t="n">
        <v>41</v>
      </c>
      <c r="B42" s="7" t="inlineStr">
        <is>
          <t>Frecuencia y responsable de copiar backups/ y backend/uploads/ fuera del servidor</t>
        </is>
      </c>
      <c r="C42" s="7" t="inlineStr">
        <is>
          <t>Cap. 7, 7.7.2 Tareas periódicas</t>
        </is>
      </c>
      <c r="D42" s="7" t="inlineStr">
        <is>
          <t>Municipalidad</t>
        </is>
      </c>
      <c r="E42" s="8" t="inlineStr"/>
    </row>
    <row r="43">
      <c r="A43" s="7" t="n">
        <v>42</v>
      </c>
      <c r="B43" s="7" t="inlineStr">
        <is>
          <t>Frecuencia y responsable de revisar el espacio libre en disco</t>
        </is>
      </c>
      <c r="C43" s="7" t="inlineStr">
        <is>
          <t>Cap. 7, 7.7.2 Tareas periódicas</t>
        </is>
      </c>
      <c r="D43" s="7" t="inlineStr">
        <is>
          <t>Municipalidad</t>
        </is>
      </c>
      <c r="E43" s="8" t="inlineStr"/>
    </row>
    <row r="44">
      <c r="A44" s="7" t="n">
        <v>43</v>
      </c>
      <c r="B44" s="7" t="inlineStr">
        <is>
          <t>Frecuencia y responsable de revisar las fotografías de dispensación acumuladas</t>
        </is>
      </c>
      <c r="C44" s="7" t="inlineStr">
        <is>
          <t>Cap. 7, 7.7.2 Tareas periódicas</t>
        </is>
      </c>
      <c r="D44" s="7" t="inlineStr">
        <is>
          <t>Municipalidad</t>
        </is>
      </c>
      <c r="E44" s="8" t="inlineStr"/>
    </row>
    <row r="45">
      <c r="A45" s="7" t="n">
        <v>44</v>
      </c>
      <c r="B45" s="7" t="inlineStr">
        <is>
          <t>Fecha de entrega del sistema a la municipalidad y forma de aceptación</t>
        </is>
      </c>
      <c r="C45" s="7" t="inlineStr">
        <is>
          <t>Cap. 7, 7.8 Capacitación y entrega al usuario</t>
        </is>
      </c>
      <c r="D45" s="7" t="inlineStr">
        <is>
          <t>Daniel</t>
        </is>
      </c>
      <c r="E45" s="8" t="inlineStr"/>
    </row>
    <row r="46">
      <c r="A46" s="7" t="n">
        <v>45</v>
      </c>
      <c r="B46" s="7" t="inlineStr">
        <is>
          <t>Manual de usuario e integrante que lo elaboró</t>
        </is>
      </c>
      <c r="C46" s="7" t="inlineStr">
        <is>
          <t>Anexo A, Manual de usuario</t>
        </is>
      </c>
      <c r="D46" s="7" t="inlineStr">
        <is>
          <t>Compañero del manual</t>
        </is>
      </c>
      <c r="E46" s="8" t="inlineStr"/>
    </row>
    <row r="47">
      <c r="A47" s="7" t="n">
        <v>46</v>
      </c>
      <c r="B47" s="7" t="inlineStr">
        <is>
          <t>Informe de pruebas de penetración e integrante que lo elaboró</t>
        </is>
      </c>
      <c r="C47" s="7" t="inlineStr">
        <is>
          <t>Anexo B, Informe de pruebas de penetración</t>
        </is>
      </c>
      <c r="D47" s="7" t="inlineStr">
        <is>
          <t>Compañero de pentest</t>
        </is>
      </c>
      <c r="E47" s="8" t="inlineStr"/>
    </row>
    <row r="48">
      <c r="A48" s="7" t="n">
        <v>47</v>
      </c>
      <c r="B48" s="7" t="inlineStr">
        <is>
          <t>Si se cambiaron JWT_SECRET y DB_PASSWORD (solo Sí/No, sin valores)</t>
        </is>
      </c>
      <c r="C48" s="7" t="inlineStr">
        <is>
          <t>analisis/pendientes_instalacion.md, fila 6 (P-06, H-03)</t>
        </is>
      </c>
      <c r="D48" s="7" t="inlineStr">
        <is>
          <t>Municipalidad</t>
        </is>
      </c>
      <c r="E48" s="8" t="inlineStr"/>
    </row>
    <row r="49">
      <c r="A49" s="7" t="n">
        <v>48</v>
      </c>
      <c r="B49" s="7" t="inlineStr">
        <is>
          <t>Lector de código de barras: marca, modelo y modo de conexión</t>
        </is>
      </c>
      <c r="C49" s="7" t="inlineStr">
        <is>
          <t>analisis/pendientes_instalacion.md, fila 8</t>
        </is>
      </c>
      <c r="D49" s="7" t="inlineStr">
        <is>
          <t>Municipalidad</t>
        </is>
      </c>
      <c r="E49" s="8" t="inlineStr"/>
    </row>
    <row r="50">
      <c r="A50" s="7" t="n">
        <v>49</v>
      </c>
      <c r="B50" s="7" t="inlineStr">
        <is>
          <t>Respaldo de la base en el servidor: configurado Sí/No, método, frecuencia y ubicación de las copias</t>
        </is>
      </c>
      <c r="C50" s="7" t="inlineStr">
        <is>
          <t>analisis/pendientes_instalacion.md, fila 9</t>
        </is>
      </c>
      <c r="D50" s="7" t="inlineStr">
        <is>
          <t>Municipalidad</t>
        </is>
      </c>
      <c r="E50" s="8" t="inlineStr"/>
    </row>
    <row r="51">
      <c r="A51" s="7" t="n">
        <v>50</v>
      </c>
      <c r="B51" s="7" t="inlineStr">
        <is>
          <t>Usuarios creados en producción: cantidad con rol ADMIN y con rol ENCARGADO_BENEFICENCIA</t>
        </is>
      </c>
      <c r="C51" s="7" t="inlineStr">
        <is>
          <t>analisis/pendientes_instalacion.md, fila 10</t>
        </is>
      </c>
      <c r="D51" s="7" t="inlineStr">
        <is>
          <t>Municipalidad</t>
        </is>
      </c>
      <c r="E51" s="8" t="inlineStr"/>
    </row>
    <row r="52">
      <c r="A52" s="7" t="n">
        <v>51</v>
      </c>
      <c r="B52" s="7" t="inlineStr">
        <is>
          <t>Capacitación al personal: fechas, duración y asistentes por puesto</t>
        </is>
      </c>
      <c r="C52" s="7" t="inlineStr">
        <is>
          <t>analisis/pendientes_instalacion.md, fila 11</t>
        </is>
      </c>
      <c r="D52" s="7" t="inlineStr">
        <is>
          <t>Daniel</t>
        </is>
      </c>
      <c r="E52" s="8" t="inlineStr"/>
    </row>
  </sheetData>
  <autoFilter ref="A1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2026-10-20T23:14:50Z</dcterms:created>
  <dcterms:modified xmlns:dcterms="http://purl.org/dc/terms/" xmlns:xsi="http://www.w3.org/2001/XMLSchema-instance" xsi:type="dcterms:W3CDTF">2026-10-20T23:14:50Z</dcterms:modified>
</cp:coreProperties>
</file>